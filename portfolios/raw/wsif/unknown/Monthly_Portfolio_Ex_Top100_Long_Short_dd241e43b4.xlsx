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O:\2. Operations FY 2026-27\PORTFOLIOS\MONTHLY\Sep 2026\SIF\"/>
    </mc:Choice>
  </mc:AlternateContent>
  <xr:revisionPtr revIDLastSave="0" documentId="13_ncr:1_{B398B09B-64FF-4D1D-8891-711F945D488F}" xr6:coauthVersionLast="47" xr6:coauthVersionMax="47" xr10:uidLastSave="{00000000-0000-0000-0000-000000000000}"/>
  <bookViews>
    <workbookView xWindow="-110" yWindow="-110" windowWidth="19420" windowHeight="11500" xr2:uid="{0D3E67B5-B822-40AA-9F74-5E0C1A697E1C}"/>
  </bookViews>
  <sheets>
    <sheet name="WSXT" sheetId="1" r:id="rId1"/>
  </sheets>
  <externalReferences>
    <externalReference r:id="rId2"/>
  </externalReferences>
  <definedNames>
    <definedName name="XDO_?AUM?1?">WSXT!$E$85:$E$99</definedName>
    <definedName name="XDO_?DATECH?">'[1]DETAILED HOLDING STATEMENT'!#REF!</definedName>
    <definedName name="XDO_?DATEMISS?">'[1]DETAILED HOLDING STATEMENT'!#REF!</definedName>
    <definedName name="XDO_?DLAST_COUP?">'[1]DETAILED HOLDING STATEMENT'!#REF!</definedName>
    <definedName name="XDO_?DNEXT_COUP?">'[1]DETAILED HOLDING STATEMENT'!#REF!</definedName>
    <definedName name="XDO_?FUND_OBJECTIVE?1?">WSXT!$A$2</definedName>
    <definedName name="XDO_?HEADER?1?">WSXT!$A$3</definedName>
    <definedName name="XDO_?ISIN_EQU?1?">WSXT!$A$7:$A$60</definedName>
    <definedName name="XDO_?ISIN_TREP?1?">WSXT!$A$50:$A$86</definedName>
    <definedName name="XDO_?ISSUER_NAME_EQU?1?">WSXT!$B$7:$B$60</definedName>
    <definedName name="XDO_?ISSUER_NAME_TREP?1?">WSXT!$B$50:$B$86</definedName>
    <definedName name="XDO_?MARKET_VALUE_EQU?1?">WSXT!$E$7:$E$60</definedName>
    <definedName name="XDO_?MARKET_VALUE_TREP?1?">WSXT!$E$50:$E$86</definedName>
    <definedName name="XDO_?MATURITY_DATE?">'[1]DETAILED HOLDING STATEMENT'!#REF!</definedName>
    <definedName name="XDO_?MATURITY_DATE_EQU?1?">WSXT!$G$7:$G$60</definedName>
    <definedName name="XDO_?MATURITY_DATE_TREP?1?">WSXT!$G$50:$G$86</definedName>
    <definedName name="XDO_?MD_HIDE_EQU_1?">[1]WSLS!#REF!</definedName>
    <definedName name="XDO_?MD_HIDE_EQU_1?1?">WSXT!#REF!</definedName>
    <definedName name="XDO_?MD_HIDE_EQU_2?">[1]WSLS!#REF!</definedName>
    <definedName name="XDO_?MD_HIDE_EQU_2?1?">WSXT!#REF!</definedName>
    <definedName name="XDO_?MD_HIDE_EQU_3?">[1]WSLS!#REF!</definedName>
    <definedName name="XDO_?MD_HIDE_EQU_3?1?">WSXT!#REF!</definedName>
    <definedName name="XDO_?MD_HIDE_EQU_4?">[1]WSLS!#REF!</definedName>
    <definedName name="XDO_?MD_HIDE_EQU_4?1?">WSXT!#REF!</definedName>
    <definedName name="XDO_?MD_HIDE_EQU_4?2?">WSXT!#REF!</definedName>
    <definedName name="XDO_?MD_HIDE_EQU_5?">[1]WSLS!#REF!</definedName>
    <definedName name="XDO_?MD_HIDE_EQU_5?1?">WSXT!#REF!</definedName>
    <definedName name="XDO_?MD_HIDE_EQU_6?">[1]WSLS!#REF!</definedName>
    <definedName name="XDO_?NAV_GROUP?1?">WSXT!$A$1</definedName>
    <definedName name="XDO_?P_AS_ON_DATE?">'[1]DETAILED HOLDING STATEMENT'!#REF!</definedName>
    <definedName name="XDO_?PER_NET_ASST_EQU?">[1]WSLS!$F$7:$F$57</definedName>
    <definedName name="XDO_?PER_NET_ASST_EQU?1?">WSXT!$F$7:$F$60</definedName>
    <definedName name="XDO_?PER_NET_ASST_TREP?1?">WSXT!$F$50:$F$86</definedName>
    <definedName name="XDO_?QUANTITY_EQU?1?">WSXT!$D$7:$D$60</definedName>
    <definedName name="XDO_?QUANTITY_TREP?1?">WSXT!$D$50:$D$86</definedName>
    <definedName name="XDO_?RATING_INDUSTRY_EQU?1?">WSXT!$C$7:$C$60</definedName>
    <definedName name="XDO_?RATING_INDUSTRY_TREP?1?">WSXT!$C$50:$C$86</definedName>
    <definedName name="XDO_?ST_HIDE_EQU?">[1]WSLS!#REF!</definedName>
    <definedName name="XDO_?ST_HIDE_EQU?1?">WSXT!#REF!</definedName>
    <definedName name="XDO_?TITLE_HASH?">[1]WSLS!#REF!</definedName>
    <definedName name="XDO_?TITLE_HASH?1?">WSXT!#REF!</definedName>
    <definedName name="XDO_?TITLE_STAR?">[1]WSLS!#REF!</definedName>
    <definedName name="XDO_?TITLE_STAR?1?">WSXT!#REF!</definedName>
    <definedName name="XDO_?TX_GT_MARKET_VALUE_DEBT_A?">[1]WSLS!#REF!</definedName>
    <definedName name="XDO_?TX_GT_MARKET_VALUE_DEBT_A?1?">WSXT!$E$72</definedName>
    <definedName name="XDO_?TX_GT_MARKET_VALUE_DEBT_A?2?">WSXT!#REF!</definedName>
    <definedName name="XDO_?TX_GT_MARKET_VALUE_DEBT_ALL?1?">WSXT!$E$79</definedName>
    <definedName name="XDO_?TX_GT_MARKET_VALUE_DEBT_B?">[1]WSLS!#REF!</definedName>
    <definedName name="XDO_?TX_GT_MARKET_VALUE_DEBT_B?1?">WSXT!$E$74</definedName>
    <definedName name="XDO_?TX_GT_MARKET_VALUE_DEBT_B?2?">WSXT!#REF!</definedName>
    <definedName name="XDO_?TX_GT_MARKET_VALUE_DEBT_C?">[1]WSLS!#REF!</definedName>
    <definedName name="XDO_?TX_GT_MARKET_VALUE_DEBT_C?1?">WSXT!$E$76</definedName>
    <definedName name="XDO_?TX_GT_MARKET_VALUE_DEBT_C?2?">WSXT!#REF!</definedName>
    <definedName name="XDO_?TX_GT_MARKET_VALUE_DEBT_D?">[1]WSLS!#REF!</definedName>
    <definedName name="XDO_?TX_GT_MARKET_VALUE_DEBT_D?1?">WSXT!$E$78</definedName>
    <definedName name="XDO_?TX_GT_MARKET_VALUE_DEBT_D?2?">WSXT!#REF!</definedName>
    <definedName name="XDO_?TX_GT_MARKET_VALUE_EQU_ALL?1?">WSXT!$E$68</definedName>
    <definedName name="XDO_?TX_GT_MARKET_VALUE_GRAND?1?">WSXT!$E$97</definedName>
    <definedName name="XDO_?TX_GT_MARKET_VALUE_GRAND?2?">WSXT!$E$94:$E$99</definedName>
    <definedName name="XDO_?TX_GT_MARKET_VALUE_MM_ALL?1?">WSXT!$E$90</definedName>
    <definedName name="XDO_?TX_GT_PER_NET_ASSET_DEBT_ALL?1?">WSXT!$F$79</definedName>
    <definedName name="XDO_?TX_GT_PER_NET_ASST_DEBT_A?">[1]WSLS!#REF!</definedName>
    <definedName name="XDO_?TX_GT_PER_NET_ASST_DEBT_A?1?">WSXT!$F$72</definedName>
    <definedName name="XDO_?TX_GT_PER_NET_ASST_DEBT_A?2?">WSXT!#REF!</definedName>
    <definedName name="XDO_?TX_GT_PER_NET_ASST_DEBT_B?">[1]WSLS!#REF!</definedName>
    <definedName name="XDO_?TX_GT_PER_NET_ASST_DEBT_B?1?">WSXT!$F$74</definedName>
    <definedName name="XDO_?TX_GT_PER_NET_ASST_DEBT_B?2?">WSXT!#REF!</definedName>
    <definedName name="XDO_?TX_GT_PER_NET_ASST_DEBT_C?">[1]WSLS!#REF!</definedName>
    <definedName name="XDO_?TX_GT_PER_NET_ASST_DEBT_C?1?">WSXT!$F$76</definedName>
    <definedName name="XDO_?TX_GT_PER_NET_ASST_DEBT_C?2?">WSXT!#REF!</definedName>
    <definedName name="XDO_?TX_GT_PER_NET_ASST_DEBT_D?">[1]WSLS!#REF!</definedName>
    <definedName name="XDO_?TX_GT_PER_NET_ASST_DEBT_D?1?">WSXT!$F$78</definedName>
    <definedName name="XDO_?TX_GT_PER_NET_ASST_DEBT_D?2?">WSXT!#REF!</definedName>
    <definedName name="XDO_?TX_GT_PER_NET_ASST_EQU_ALL?1?">WSXT!$F$68</definedName>
    <definedName name="XDO_?TX_GT_PER_NET_ASST_GRAND?1?">WSXT!$F$97</definedName>
    <definedName name="XDO_?TX_GT_PER_NET_ASST_GRAND?2?">WSXT!$F$94:$F$99</definedName>
    <definedName name="XDO_?TX_GT_PER_NET_ASST_MM_ALL?1?">WSXT!$F$90</definedName>
    <definedName name="XDO_?TX_MKT_VAL_DEBT_A_HDN?">[1]WSLS!#REF!</definedName>
    <definedName name="XDO_?TX_MKT_VAL_DEBT_A_HDN?1?">WSXT!$E$71</definedName>
    <definedName name="XDO_?TX_MKT_VAL_DEBT_A_HDN?2?">WSXT!#REF!</definedName>
    <definedName name="XDO_?TX_MKT_VAL_DEBT_B_HDN?1?">WSXT!$E$73</definedName>
    <definedName name="XDO_?TX_MKT_VAL_DEBT_C_HDN?1?">WSXT!$E$75</definedName>
    <definedName name="XDO_?TX_MKT_VAL_DEBT_D_HDN?1?">WSXT!$E$77</definedName>
    <definedName name="XDO_?TX_MKT_VAL_EQU_HDN?1?">WSXT!$E$6</definedName>
    <definedName name="XDO_?TX_MKT_VAL_EQU_NON_HDN?1?">WSXT!$E$62</definedName>
    <definedName name="XDO_?TX_MKT_VAL_IVT_HDN?1?">WSXT!$E$66</definedName>
    <definedName name="XDO_?TX_MKT_VAL_RET_HDN?1?">WSXT!$E$64</definedName>
    <definedName name="XDO_?TX_PER_NET_DEBT_A_HDN?">[1]WSLS!#REF!</definedName>
    <definedName name="XDO_?TX_PER_NET_DEBT_A_HDN?1?">WSXT!$F$71</definedName>
    <definedName name="XDO_?TX_PER_NET_DEBT_A_HDN?2?">WSXT!#REF!</definedName>
    <definedName name="XDO_?TX_PER_NET_DEBT_B_HDN?1?">WSXT!$F$73</definedName>
    <definedName name="XDO_?TX_PER_NET_DEBT_C_HDN?1?">WSXT!$F$75</definedName>
    <definedName name="XDO_?TX_PER_NET_DEBT_D_HDN?1?">WSXT!$F$77</definedName>
    <definedName name="XDO_?TX_PER_NET_EQU_HDN?1?">WSXT!$F$6</definedName>
    <definedName name="XDO_?TX_PER_NET_EQU_NON_HDN?1?">WSXT!$F$62</definedName>
    <definedName name="XDO_?TX_PER_NET_IVT_HDN?1?">WSXT!$F$66</definedName>
    <definedName name="XDO_?TX_PER_NET_RET_HDN?1?">WSXT!$F$64</definedName>
    <definedName name="XDO_?TX_ST_MARKET_VALUE_EQU?1?">WSXT!$E$61</definedName>
    <definedName name="XDO_?TX_ST_MARKET_VALUE_EQU_NON?">[1]WSLS!#REF!</definedName>
    <definedName name="XDO_?TX_ST_MARKET_VALUE_EQU_NON?1?">WSXT!$E$63</definedName>
    <definedName name="XDO_?TX_ST_MARKET_VALUE_EQU_NON?2?">WSXT!#REF!</definedName>
    <definedName name="XDO_?TX_ST_MARKET_VALUE_IVT?">[1]WSLS!#REF!</definedName>
    <definedName name="XDO_?TX_ST_MARKET_VALUE_IVT?1?">WSXT!$E$67</definedName>
    <definedName name="XDO_?TX_ST_MARKET_VALUE_IVT?2?">WSXT!#REF!</definedName>
    <definedName name="XDO_?TX_ST_MARKET_VALUE_OTHERS?">[1]WSLS!#REF!</definedName>
    <definedName name="XDO_?TX_ST_MARKET_VALUE_OTHERS?1?">WSXT!$E$82</definedName>
    <definedName name="XDO_?TX_ST_MARKET_VALUE_OTHERS?2?">WSXT!#REF!</definedName>
    <definedName name="XDO_?TX_ST_MARKET_VALUE_PRF?">[1]WSLS!#REF!</definedName>
    <definedName name="XDO_?TX_ST_MARKET_VALUE_PRF?1?">WSXT!$E$93</definedName>
    <definedName name="XDO_?TX_ST_MARKET_VALUE_PRF?2?">WSXT!#REF!</definedName>
    <definedName name="XDO_?TX_ST_MARKET_VALUE_RET?">[1]WSLS!#REF!</definedName>
    <definedName name="XDO_?TX_ST_MARKET_VALUE_RET?1?">WSXT!$E$65</definedName>
    <definedName name="XDO_?TX_ST_MARKET_VALUE_RET?2?">WSXT!#REF!</definedName>
    <definedName name="XDO_?TX_ST_MARKET_VALUE_RR?">[1]WSLS!#REF!</definedName>
    <definedName name="XDO_?TX_ST_MARKET_VALUE_RR?1?">WSXT!$E$89</definedName>
    <definedName name="XDO_?TX_ST_MARKET_VALUE_RR?2?">WSXT!#REF!</definedName>
    <definedName name="XDO_?TX_ST_MARKET_VALUE_TREP?1?">WSXT!$E$87</definedName>
    <definedName name="XDO_?TX_ST_PER_NET_ASST_EQU?1?">WSXT!$F$61</definedName>
    <definedName name="XDO_?TX_ST_PER_NET_ASST_EQU_NON?">[1]WSLS!#REF!</definedName>
    <definedName name="XDO_?TX_ST_PER_NET_ASST_EQU_NON?1?">WSXT!$F$63</definedName>
    <definedName name="XDO_?TX_ST_PER_NET_ASST_EQU_NON?2?">WSXT!#REF!</definedName>
    <definedName name="XDO_?TX_ST_PER_NET_ASST_IVT?">[1]WSLS!#REF!</definedName>
    <definedName name="XDO_?TX_ST_PER_NET_ASST_IVT?1?">WSXT!$F$67</definedName>
    <definedName name="XDO_?TX_ST_PER_NET_ASST_IVT?2?">WSXT!#REF!</definedName>
    <definedName name="XDO_?TX_ST_PER_NET_ASST_OTHERS?">[1]WSLS!#REF!</definedName>
    <definedName name="XDO_?TX_ST_PER_NET_ASST_OTHERS?1?">WSXT!$F$82</definedName>
    <definedName name="XDO_?TX_ST_PER_NET_ASST_OTHERS?2?">WSXT!#REF!</definedName>
    <definedName name="XDO_?TX_ST_PER_NET_ASST_PRF?">[1]WSLS!#REF!</definedName>
    <definedName name="XDO_?TX_ST_PER_NET_ASST_PRF?1?">WSXT!$F$93</definedName>
    <definedName name="XDO_?TX_ST_PER_NET_ASST_PRF?2?">WSXT!#REF!</definedName>
    <definedName name="XDO_?TX_ST_PER_NET_ASST_RET?">[1]WSLS!#REF!</definedName>
    <definedName name="XDO_?TX_ST_PER_NET_ASST_RET?1?">WSXT!$F$65</definedName>
    <definedName name="XDO_?TX_ST_PER_NET_ASST_RET?2?">WSXT!#REF!</definedName>
    <definedName name="XDO_?TX_ST_PER_NET_ASST_RR?">[1]WSLS!#REF!</definedName>
    <definedName name="XDO_?TX_ST_PER_NET_ASST_RR?1?">WSXT!$F$89</definedName>
    <definedName name="XDO_?TX_ST_PER_NET_ASST_RR?2?">WSXT!#REF!</definedName>
    <definedName name="XDO_?TX_ST_PER_NET_ASST_TREP?1?">WSXT!$F$87</definedName>
    <definedName name="XDO_?YIELDS_EQU?1?">WSXT!$I$7:$I$60</definedName>
    <definedName name="XDO_?YIELDS_TREP?1?">WSXT!$I$50:$I$86</definedName>
    <definedName name="XDO_GROUP_?G_11?">[1]WSLS!#REF!</definedName>
    <definedName name="XDO_GROUP_?G_11?1?">WSXT!#REF!</definedName>
    <definedName name="XDO_GROUP_?G_12?">[1]WSLS!#REF!</definedName>
    <definedName name="XDO_GROUP_?G_12?1?">WSXT!#REF!</definedName>
    <definedName name="XDO_GROUP_?G_13?">[1]WSLS!#REF!</definedName>
    <definedName name="XDO_GROUP_?G_13?1?">WSXT!#REF!</definedName>
    <definedName name="XDO_GROUP_?G_14?">[1]WSLS!#REF!</definedName>
    <definedName name="XDO_GROUP_?G_14?1?">WSXT!#REF!</definedName>
    <definedName name="XDO_GROUP_?G_16?">[1]WSLS!#REF!</definedName>
    <definedName name="XDO_GROUP_?G_16?1?">WSXT!#REF!</definedName>
    <definedName name="XDO_GROUP_?G_18?">[1]WSLS!#REF!</definedName>
    <definedName name="XDO_GROUP_?G_18?1?">WSXT!#REF!</definedName>
    <definedName name="XDO_GROUP_?G_19?">[1]WSLS!#REF!</definedName>
    <definedName name="XDO_GROUP_?G_19?1?">WSXT!#REF!</definedName>
    <definedName name="XDO_GROUP_?G_23?1?">WSXT!$A$86:$J$86</definedName>
    <definedName name="XDO_GROUP_?G_25?1?">WSXT!$A$99:$J$99</definedName>
    <definedName name="XDO_GROUP_?G_26?">[1]WSLS!#REF!</definedName>
    <definedName name="XDO_GROUP_?G_26?1?">WSXT!#REF!</definedName>
    <definedName name="XDO_GROUP_?G_29?">[1]WSLS!#REF!</definedName>
    <definedName name="XDO_GROUP_?G_29?1?">WSXT!#REF!</definedName>
    <definedName name="XDO_GROUP_?G_3?1?">WSXT!$A$7:$J$60</definedName>
    <definedName name="XDO_GROUP_?G_30?">[1]WSLS!#REF!</definedName>
    <definedName name="XDO_GROUP_?G_30?1?">WSXT!#REF!</definedName>
    <definedName name="XDO_GROUP_?G_33?">[1]WSLS!#REF!</definedName>
    <definedName name="XDO_GROUP_?G_33?1?">WSXT!#REF!</definedName>
    <definedName name="XDO_GROUP_?G_35?">[1]WSLS!#REF!</definedName>
    <definedName name="XDO_GROUP_?G_35?1?">WSXT!#REF!</definedName>
    <definedName name="XDO_GROUP_?G_37?">[1]WSLS!#REF!</definedName>
    <definedName name="XDO_GROUP_?G_37?1?">WSXT!#REF!</definedName>
    <definedName name="XDO_GROUP_?G_39?">[1]WSLS!#REF!</definedName>
    <definedName name="XDO_GROUP_?G_39?1?">WSXT!#REF!</definedName>
    <definedName name="XDO_GROUP_?G_40?">[1]WSLS!#REF!</definedName>
    <definedName name="XDO_GROUP_?G_40?1?">WSXT!#REF!</definedName>
    <definedName name="XDO_GROUP_?G_5?">[1]WSLS!#REF!</definedName>
    <definedName name="XDO_GROUP_?G_5?1?">WSXT!#REF!</definedName>
    <definedName name="XDO_GROUP_?G_6?">[1]WSLS!#REF!</definedName>
    <definedName name="XDO_GROUP_?G_6?1?">WSXT!#REF!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8" i="1" l="1"/>
  <c r="E98"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alcChain>
</file>

<file path=xl/sharedStrings.xml><?xml version="1.0" encoding="utf-8"?>
<sst xmlns="http://schemas.openxmlformats.org/spreadsheetml/2006/main" count="333" uniqueCount="232">
  <si>
    <t>WSIF Equity Ex Top 100 Long Short Fund</t>
  </si>
  <si>
    <t>Monthly Portfolio Statement for the period ended 30.September.2026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</si>
  <si>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</si>
  <si>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</si>
  <si>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</si>
  <si>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</si>
  <si>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</si>
  <si>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</si>
  <si>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</si>
  <si>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</si>
  <si>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</si>
  <si>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</si>
  <si>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</si>
  <si>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INE0J1Y01017</t>
  </si>
  <si>
    <t>Life Insurance Corporation Of India</t>
  </si>
  <si>
    <t>Insurance</t>
  </si>
  <si>
    <t>INE040A01034</t>
  </si>
  <si>
    <t>HDFC Bank Limited</t>
  </si>
  <si>
    <t>Banks</t>
  </si>
  <si>
    <t>INE398R01022</t>
  </si>
  <si>
    <t>Syngene International Limited</t>
  </si>
  <si>
    <t>Healthcare Services</t>
  </si>
  <si>
    <t>INE995S01015</t>
  </si>
  <si>
    <t>Niva Bupa Health Insurance Company Ltd.</t>
  </si>
  <si>
    <t>INE787D01026</t>
  </si>
  <si>
    <t>Balkrishna Industries Limited</t>
  </si>
  <si>
    <t>Auto Components</t>
  </si>
  <si>
    <t>INE227W01023</t>
  </si>
  <si>
    <t>Clean Science and Technology Limited</t>
  </si>
  <si>
    <t>Chemicals &amp; Petrochemicals</t>
  </si>
  <si>
    <t>INE053A01029</t>
  </si>
  <si>
    <t>The Indian Hotels Company Limited</t>
  </si>
  <si>
    <t>Leisure Services</t>
  </si>
  <si>
    <t>INE371P01015</t>
  </si>
  <si>
    <t>Amber Enterprises India Limited</t>
  </si>
  <si>
    <t>Consumer Durables</t>
  </si>
  <si>
    <t>INE00H001014</t>
  </si>
  <si>
    <t>SWIGGY LIMITED</t>
  </si>
  <si>
    <t>Retailing</t>
  </si>
  <si>
    <t>INE148G01016</t>
  </si>
  <si>
    <t>Asset Reconstruction Company (India)Ltd</t>
  </si>
  <si>
    <t>Finance</t>
  </si>
  <si>
    <t>INE726G01019</t>
  </si>
  <si>
    <t>ICICI Prudential Life Insurance Company</t>
  </si>
  <si>
    <t>INE743M01012</t>
  </si>
  <si>
    <t>RHI MAGNESITA INDIA LIMITED</t>
  </si>
  <si>
    <t>Industrial Products</t>
  </si>
  <si>
    <t>INE152A01029</t>
  </si>
  <si>
    <t>Thermax Limited</t>
  </si>
  <si>
    <t>Electrical Equipment</t>
  </si>
  <si>
    <t>INE089A01031</t>
  </si>
  <si>
    <t>Dr. Reddy's Laboratories Limited</t>
  </si>
  <si>
    <t>Pharmaceuticals &amp; Biotechnology</t>
  </si>
  <si>
    <t>INE718I01012</t>
  </si>
  <si>
    <t>JSW Cement Limited</t>
  </si>
  <si>
    <t>Cement &amp; Cement Products</t>
  </si>
  <si>
    <t>INE615H01020</t>
  </si>
  <si>
    <t>TITAGARH RAIL SYSTEMS LIMITED</t>
  </si>
  <si>
    <t>Industrial Manufacturing</t>
  </si>
  <si>
    <t>INE901L01018</t>
  </si>
  <si>
    <t>Alembic Pharmaceuticals Limited</t>
  </si>
  <si>
    <t>INE438A01022</t>
  </si>
  <si>
    <t>Apollo Tyres Limited</t>
  </si>
  <si>
    <t>INE462A01022</t>
  </si>
  <si>
    <t>Bayer Cropscience Limited</t>
  </si>
  <si>
    <t>Fertilizers &amp; Agrochemicals</t>
  </si>
  <si>
    <t>INE0LP301011</t>
  </si>
  <si>
    <t>Physicswallah Limited</t>
  </si>
  <si>
    <t>Other Consumer Services</t>
  </si>
  <si>
    <t>INE233B01017</t>
  </si>
  <si>
    <t>Blue Dart Express Limited</t>
  </si>
  <si>
    <t>Transport Services</t>
  </si>
  <si>
    <t>INE299U01018</t>
  </si>
  <si>
    <t>Crompton Greaves Consumer Electrical Ltd</t>
  </si>
  <si>
    <t>INE725G01011</t>
  </si>
  <si>
    <t>ICRA LIMITED</t>
  </si>
  <si>
    <t>Capital Markets</t>
  </si>
  <si>
    <t>INE0KWF01020</t>
  </si>
  <si>
    <t>Manika Plastech Limited</t>
  </si>
  <si>
    <t>INE883A01011</t>
  </si>
  <si>
    <t>MRF Limited</t>
  </si>
  <si>
    <t>INE379A01028</t>
  </si>
  <si>
    <t>ITC Hotels Limited</t>
  </si>
  <si>
    <t>INE230A01023</t>
  </si>
  <si>
    <t>EIH Limited</t>
  </si>
  <si>
    <t>INE395N01027</t>
  </si>
  <si>
    <t>TVS Supply Chain Solutions Limited</t>
  </si>
  <si>
    <t>INE640A01023</t>
  </si>
  <si>
    <t>SKF India Limited</t>
  </si>
  <si>
    <t>INE540L01014</t>
  </si>
  <si>
    <t>Alkem Laboratories Limited</t>
  </si>
  <si>
    <t>INE373A01013</t>
  </si>
  <si>
    <t>BASF India Limited</t>
  </si>
  <si>
    <t>INE970X01018</t>
  </si>
  <si>
    <t>Lemon Tree Hotels Limited</t>
  </si>
  <si>
    <t>INE332A01027</t>
  </si>
  <si>
    <t>Thomas Cook (India) Limited</t>
  </si>
  <si>
    <t>INE176B01034</t>
  </si>
  <si>
    <t>Havells India Limited</t>
  </si>
  <si>
    <t>INE258A01024</t>
  </si>
  <si>
    <t>BEML Limited</t>
  </si>
  <si>
    <t>Agricultural, Commercial &amp; Construction Vehicles</t>
  </si>
  <si>
    <t>INE0KCE01017</t>
  </si>
  <si>
    <t>EUREKA FORBES LTD</t>
  </si>
  <si>
    <t>INE488A01050</t>
  </si>
  <si>
    <t>Chemplast Sanmar Ltd</t>
  </si>
  <si>
    <t>INE102D01028</t>
  </si>
  <si>
    <t>Godrej Consumer Products Limited</t>
  </si>
  <si>
    <t>Personal Products</t>
  </si>
  <si>
    <t>INE789E01012</t>
  </si>
  <si>
    <t>JK Paper Limited</t>
  </si>
  <si>
    <t>Paper, Forest &amp; Jute Products</t>
  </si>
  <si>
    <t>INE260D01016</t>
  </si>
  <si>
    <t>Olectra Greentech Limited</t>
  </si>
  <si>
    <t>Automobiles</t>
  </si>
  <si>
    <t>INE877F01012</t>
  </si>
  <si>
    <t>PTC India Limited</t>
  </si>
  <si>
    <t>Power</t>
  </si>
  <si>
    <t>INE406M01024</t>
  </si>
  <si>
    <t>Eris Lifesciences Limited</t>
  </si>
  <si>
    <t>INE974X01010</t>
  </si>
  <si>
    <t>TUBE INVESTMENTS OF INDIA LTD</t>
  </si>
  <si>
    <t>INE038A01020</t>
  </si>
  <si>
    <t>Hindalco Industries Limited</t>
  </si>
  <si>
    <t>Non - Ferrous Metals</t>
  </si>
  <si>
    <t>INE786A01032</t>
  </si>
  <si>
    <t>JK Lakshmi Cement Limited</t>
  </si>
  <si>
    <t>INE085A01013</t>
  </si>
  <si>
    <t>Chambal Fertilizers &amp; Chemicals Limited</t>
  </si>
  <si>
    <t>INE079A01024</t>
  </si>
  <si>
    <t>Ambuja Cements Limited</t>
  </si>
  <si>
    <t>INE100A01010</t>
  </si>
  <si>
    <t>Atul Limited</t>
  </si>
  <si>
    <t>INE203G01027</t>
  </si>
  <si>
    <t>Indraprastha Gas Limited</t>
  </si>
  <si>
    <t>Gas</t>
  </si>
  <si>
    <t>INE02RE01045</t>
  </si>
  <si>
    <t>Brainbees Solutions Ltd.</t>
  </si>
  <si>
    <t>INE263A01024</t>
  </si>
  <si>
    <t>Bharat Electronics Limited</t>
  </si>
  <si>
    <t>Aerospace &amp; Defense</t>
  </si>
  <si>
    <t>INE749A01030</t>
  </si>
  <si>
    <t>Jindal Steel Limited</t>
  </si>
  <si>
    <t>Ferrous Metals</t>
  </si>
  <si>
    <t>INE16NZ01023</t>
  </si>
  <si>
    <t>Orkla India Limited</t>
  </si>
  <si>
    <t>Food Products</t>
  </si>
  <si>
    <t>INE010J01012</t>
  </si>
  <si>
    <t>Tejas Networks Limited</t>
  </si>
  <si>
    <t>Telecom - Equipment &amp; Accessories</t>
  </si>
  <si>
    <t>Sub Total</t>
  </si>
  <si>
    <t>(b) Unlisted</t>
  </si>
  <si>
    <t>NIL</t>
  </si>
  <si>
    <t>Real Est Inv Trust</t>
  </si>
  <si>
    <t>Infra Inv Trust</t>
  </si>
  <si>
    <t>Total</t>
  </si>
  <si>
    <t>DEBT INSTRUMENTS</t>
  </si>
  <si>
    <t>(a) Listed / awaiting listing on Stock Exchanges</t>
  </si>
  <si>
    <t>(b) Privately placed / Unlisted</t>
  </si>
  <si>
    <t>(c) Securitized Debt Instruments</t>
  </si>
  <si>
    <t>(d) Government Securities / SDL</t>
  </si>
  <si>
    <t>Others</t>
  </si>
  <si>
    <t>MONEY MARKET INSTRUMENTS</t>
  </si>
  <si>
    <t>TREPS</t>
  </si>
  <si>
    <t>The Clearing Corporation of India Ltd. 01-OCT-2026</t>
  </si>
  <si>
    <t>01-OCT-2026</t>
  </si>
  <si>
    <t>Reverse Repo Instrument</t>
  </si>
  <si>
    <t>Preference share</t>
  </si>
  <si>
    <t>Cash &amp; Cash Equivalents</t>
  </si>
  <si>
    <t>Net Receivable/Payable</t>
  </si>
  <si>
    <t>Grand Total</t>
  </si>
  <si>
    <t>NOTES :</t>
  </si>
  <si>
    <t>Net Asset Values per unit as follows - Plan/Option</t>
  </si>
  <si>
    <t>Plan/Option</t>
  </si>
  <si>
    <t>As on September 30, 2026</t>
  </si>
  <si>
    <t>As on July 31, 2026</t>
  </si>
  <si>
    <t>REGULAR PLAN GROWTH</t>
  </si>
  <si>
    <t>(Rs.)</t>
  </si>
  <si>
    <t>DIRECT PLAN GROWTH</t>
  </si>
  <si>
    <t>DIRECT PLAN IDCW</t>
  </si>
  <si>
    <t>REGULAR PLAN IDCW</t>
  </si>
  <si>
    <t>* Allotment date - 06-05-2026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</si>
  <si>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</si>
  <si>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</si>
  <si>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</si>
  <si>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</si>
  <si>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</si>
  <si>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</si>
  <si>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</si>
  <si>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</si>
  <si>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</si>
  <si>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</si>
  <si>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</si>
  <si>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</si>
  <si>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</si>
  <si>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</si>
  <si>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Underlying </t>
  </si>
  <si>
    <t>Long / Short</t>
  </si>
  <si>
    <t xml:space="preserve">Futures Price 
when purchased </t>
  </si>
  <si>
    <t xml:space="preserve">Current price 
of the contract </t>
  </si>
  <si>
    <t xml:space="preserve">Margin 
maintained in 
Rs. Lakhs </t>
  </si>
  <si>
    <t>Godrej Consumer Products Limited 27/10/2026</t>
  </si>
  <si>
    <t>Long</t>
  </si>
  <si>
    <t>State Bank of India 27/10/2026</t>
  </si>
  <si>
    <t>Non Hedging Positions through futures as on September 30, 2026:</t>
  </si>
  <si>
    <t>Total 0% of existing assets hedged through futures as on 30/09/2026</t>
  </si>
  <si>
    <t>For the month ended September 30, 2026,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</si>
  <si>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</si>
  <si>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</si>
  <si>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</si>
  <si>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</si>
  <si>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</si>
  <si>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2.47% of net assets as on 30/09/2026</t>
  </si>
  <si>
    <t>For the month ended September 30, 2026, following are the non-hedging transactions through futures which have been squared off / expired :</t>
  </si>
  <si>
    <t>Options positions as on Septeber 30, 2026:</t>
  </si>
  <si>
    <t xml:space="preserve">Options Price 
when purchased </t>
  </si>
  <si>
    <t>Total 0% of existing assets hedged through Options as on 30/09/2026</t>
  </si>
  <si>
    <t>For the year ended September 30, 2026, following are the hedging transactions through Options which have been squared off / expired :</t>
  </si>
  <si>
    <t>Total number of contracts where Options were bought</t>
  </si>
  <si>
    <t>Total number of contracts where Options were sold</t>
  </si>
  <si>
    <t>Gross notional value of contracts where Options were bought (Rs. In Lakhs)</t>
  </si>
  <si>
    <t>Gross notional value of contracts where Options were sold (Rs. In Lakhs)</t>
  </si>
  <si>
    <t>Total exposure due to Options (non hedging positions) was 0% of net assets as on 30/09/2026</t>
  </si>
  <si>
    <t>For the month ended September 30, 2026, following are the non-hedging transactions through Options which have been squared off / expired :</t>
  </si>
  <si>
    <t>Note *** -  Conservatively disclosed as non hedged.</t>
  </si>
  <si>
    <t>This product is suitable for investors who are seeking</t>
  </si>
  <si>
    <t>To generate long-term capital appreciation by investing in a diversified portfolio of equity and equity related instruments while employing limited short exposure through derivatives.</t>
  </si>
  <si>
    <t>Risk-band*</t>
  </si>
  <si>
    <t>Benchmark Risk- band (as applicable)</t>
  </si>
  <si>
    <t>NIFTY 500 Total Return Index (TRI)</t>
  </si>
  <si>
    <t>*The Risk Band has been as specified by AMFI. Product labelling assigned during the New Fund Offer (NFO) is based on internal assessment of the investment strategy characteristics or model portfolio and the same may vary post NFO when the actual investments are made.</t>
  </si>
  <si>
    <t>Futures positions as on September 30,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</si>
</sst>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0%"/>
    <numFmt numFmtId="165" formatCode="#,##0.0000%"/>
    <numFmt numFmtId="166" formatCode="0.00\%"/>
    <numFmt numFmtId="167" formatCode="0.00&quot;%&quot;"/>
    <numFmt numFmtId="168" formatCode="#,##0.00;\(#,##0.00\)"/>
    <numFmt numFmtId="169" formatCode="#,##0%"/>
    <numFmt numFmtId="170" formatCode="_(* #,##0.00_);_(* \(#,##0.00\);_(* &quot;-&quot;??_);_(@_)"/>
    <numFmt numFmtId="171" formatCode="0.0000"/>
    <numFmt numFmtId="172" formatCode="_(* #,##0_);_(* \(#,##0\);_(* &quot;-&quot;??_);_(@_)"/>
    <numFmt numFmtId="173" formatCode="_-* #,##0.00_-;\-* #,##0.00_-;_-* &quot;-&quot;??_-;_-@_-"/>
  </numFmts>
  <fonts count="20" x14ac:knownFonts="1">
    <font>
      <sz val="11"/>
      <color theme="1"/>
      <name val="Calibri"/>
      <family val="2"/>
    </font>
    <font>
      <sz val="11"/>
      <color theme="1"/>
      <name val="Calibri"/>
      <family val="2"/>
      <scheme val="minor"/>
    </font>
    <font>
      <sz val="11"/>
      <color theme="0"/>
      <name val="Calibri"/>
      <family val="2"/>
      <scheme val="minor"/>
    </font>
    <font>
      <b/>
      <sz val="11"/>
      <color indexed="9"/>
      <name val="Century Gothic"/>
      <family val="2"/>
    </font>
    <font>
      <b/>
      <sz val="11"/>
      <color indexed="9"/>
      <name val="Calibri"/>
      <family val="2"/>
      <scheme val="minor"/>
    </font>
    <font>
      <sz val="10"/>
      <name val="Mangal"/>
      <family val="2"/>
    </font>
    <font>
      <b/>
      <sz val="11"/>
      <color indexed="8"/>
      <name val="Calibri"/>
      <family val="2"/>
      <scheme val="minor"/>
    </font>
    <font>
      <sz val="11"/>
      <color indexed="8"/>
      <name val="Calibri"/>
      <family val="2"/>
      <scheme val="minor"/>
    </font>
    <font>
      <b/>
      <sz val="11"/>
      <color indexed="72"/>
      <name val="Calibri"/>
      <family val="2"/>
      <scheme val="minor"/>
    </font>
    <font>
      <sz val="11"/>
      <color indexed="8"/>
      <name val="Calibri"/>
      <family val="2"/>
    </font>
    <font>
      <sz val="11"/>
      <color indexed="72"/>
      <name val="Calibri"/>
      <family val="2"/>
      <scheme val="minor"/>
    </font>
    <font>
      <b/>
      <sz val="11"/>
      <name val="Calibri"/>
      <family val="2"/>
      <scheme val="minor"/>
    </font>
    <font>
      <sz val="11"/>
      <name val="Calibri"/>
      <family val="2"/>
      <scheme val="minor"/>
    </font>
    <font>
      <b/>
      <sz val="11"/>
      <color indexed="56"/>
      <name val="Calibri"/>
      <family val="2"/>
      <scheme val="minor"/>
    </font>
    <font>
      <sz val="10"/>
      <name val="Arial"/>
      <family val="2"/>
    </font>
    <font>
      <sz val="10"/>
      <name val="Century Gothic"/>
      <family val="2"/>
    </font>
    <font>
      <sz val="11"/>
      <color theme="1"/>
      <name val="Century Gothic"/>
      <family val="2"/>
    </font>
    <font>
      <i/>
      <sz val="11"/>
      <color indexed="8"/>
      <name val="Calibri"/>
      <family val="2"/>
      <scheme val="minor"/>
    </font>
    <font>
      <sz val="11"/>
      <color indexed="72"/>
      <name val="Century Gothic"/>
      <family val="2"/>
    </font>
    <font>
      <sz val="11"/>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58"/>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70" fontId="9" fillId="0" borderId="0" applyFont="0" applyFill="0" applyBorder="0" applyAlignment="0" applyProtection="0"/>
    <xf numFmtId="9" fontId="9" fillId="0" borderId="0" applyFont="0" applyFill="0" applyBorder="0" applyAlignment="0" applyProtection="0"/>
    <xf numFmtId="0" fontId="5" fillId="0" borderId="0" applyNumberFormat="0" applyFill="0" applyBorder="0" applyProtection="0"/>
    <xf numFmtId="0" fontId="14" fillId="0" borderId="0"/>
    <xf numFmtId="170" fontId="14" fillId="0" borderId="0" applyFont="0" applyFill="0" applyBorder="0" applyAlignment="0" applyProtection="0"/>
    <xf numFmtId="0" fontId="14" fillId="0" borderId="0"/>
    <xf numFmtId="173" fontId="14" fillId="0" borderId="0" applyFont="0" applyFill="0" applyBorder="0" applyAlignment="0" applyProtection="0"/>
    <xf numFmtId="0" fontId="9" fillId="0" borderId="0"/>
    <xf numFmtId="0" fontId="9" fillId="0" borderId="0"/>
  </cellStyleXfs>
  <cellXfs count="116">
    <xf numFmtId="0" fontId="0" fillId="0" borderId="0" xfId="0"/>
    <xf numFmtId="49" fontId="6" fillId="3" borderId="2" xfId="3" applyNumberFormat="1" applyFont="1" applyFill="1" applyBorder="1" applyAlignment="1" applyProtection="1">
      <alignment horizontal="center" vertical="center" wrapText="1"/>
    </xf>
    <xf numFmtId="49" fontId="6" fillId="3" borderId="2" xfId="3" applyNumberFormat="1" applyFont="1" applyFill="1" applyBorder="1" applyAlignment="1" applyProtection="1">
      <alignment horizontal="left" vertical="center"/>
    </xf>
    <xf numFmtId="49" fontId="6" fillId="3" borderId="2" xfId="3" applyNumberFormat="1" applyFont="1" applyFill="1" applyBorder="1" applyAlignment="1" applyProtection="1">
      <alignment horizontal="left" vertical="center" wrapText="1"/>
    </xf>
    <xf numFmtId="3" fontId="6" fillId="3" borderId="2" xfId="3" applyNumberFormat="1" applyFont="1" applyFill="1" applyBorder="1" applyAlignment="1" applyProtection="1">
      <alignment horizontal="right" vertical="center" wrapText="1"/>
    </xf>
    <xf numFmtId="4" fontId="6" fillId="3" borderId="2" xfId="3" applyNumberFormat="1" applyFont="1" applyFill="1" applyBorder="1" applyAlignment="1" applyProtection="1">
      <alignment horizontal="right" vertical="center" wrapText="1"/>
    </xf>
    <xf numFmtId="0" fontId="7" fillId="0" borderId="2" xfId="0" applyFont="1" applyBorder="1"/>
    <xf numFmtId="0" fontId="8" fillId="0" borderId="2" xfId="0" applyFont="1" applyBorder="1" applyAlignment="1">
      <alignment horizontal="left" vertical="top"/>
    </xf>
    <xf numFmtId="4" fontId="7" fillId="0" borderId="2" xfId="0" applyNumberFormat="1" applyFont="1" applyBorder="1"/>
    <xf numFmtId="10" fontId="7" fillId="0" borderId="2" xfId="2" applyNumberFormat="1" applyFont="1" applyFill="1" applyBorder="1" applyAlignment="1"/>
    <xf numFmtId="10" fontId="7" fillId="0" borderId="2" xfId="2" applyNumberFormat="1" applyFont="1" applyFill="1" applyBorder="1" applyAlignment="1">
      <alignment horizontal="right"/>
    </xf>
    <xf numFmtId="0" fontId="10" fillId="0" borderId="2" xfId="0" applyFont="1" applyBorder="1" applyAlignment="1">
      <alignment horizontal="right" vertical="top"/>
    </xf>
    <xf numFmtId="4" fontId="6"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2" applyNumberFormat="1" applyFont="1" applyFill="1" applyBorder="1" applyAlignment="1" applyProtection="1">
      <alignment horizontal="right" vertical="top"/>
    </xf>
    <xf numFmtId="0" fontId="6" fillId="0" borderId="2" xfId="0" applyFont="1" applyBorder="1"/>
    <xf numFmtId="4" fontId="6" fillId="0" borderId="2" xfId="0" applyNumberFormat="1" applyFont="1" applyBorder="1"/>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0" fontId="12" fillId="0" borderId="2" xfId="2" applyNumberFormat="1" applyFont="1" applyFill="1" applyBorder="1" applyAlignment="1" applyProtection="1">
      <alignment horizontal="right" vertical="top"/>
    </xf>
    <xf numFmtId="10" fontId="11" fillId="0" borderId="2" xfId="2" applyNumberFormat="1" applyFont="1" applyFill="1" applyBorder="1" applyAlignment="1" applyProtection="1">
      <alignment horizontal="right" vertical="top"/>
    </xf>
    <xf numFmtId="0" fontId="6" fillId="0" borderId="0" xfId="0" applyFont="1"/>
    <xf numFmtId="165" fontId="11" fillId="0" borderId="2" xfId="0" applyNumberFormat="1" applyFont="1" applyBorder="1" applyAlignment="1">
      <alignment horizontal="right" vertical="top"/>
    </xf>
    <xf numFmtId="166" fontId="7" fillId="0" borderId="2" xfId="0" applyNumberFormat="1" applyFont="1" applyBorder="1"/>
    <xf numFmtId="0" fontId="7" fillId="0" borderId="2" xfId="0" applyFont="1" applyBorder="1" applyAlignment="1">
      <alignment horizontal="right"/>
    </xf>
    <xf numFmtId="4" fontId="10" fillId="0" borderId="2" xfId="0" applyNumberFormat="1" applyFont="1" applyBorder="1" applyAlignment="1">
      <alignment horizontal="left" vertical="top"/>
    </xf>
    <xf numFmtId="166" fontId="11"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1" fillId="0" borderId="2" xfId="0" applyNumberFormat="1" applyFont="1" applyBorder="1" applyAlignment="1">
      <alignment horizontal="right"/>
    </xf>
    <xf numFmtId="0" fontId="11" fillId="0" borderId="2" xfId="0" applyFont="1" applyBorder="1" applyAlignment="1">
      <alignment horizontal="left" vertical="top" wrapText="1"/>
    </xf>
    <xf numFmtId="167" fontId="11" fillId="0" borderId="2" xfId="0" applyNumberFormat="1" applyFont="1" applyBorder="1" applyAlignment="1">
      <alignment horizontal="right" vertical="top"/>
    </xf>
    <xf numFmtId="168" fontId="10" fillId="0" borderId="2" xfId="0" applyNumberFormat="1" applyFont="1" applyBorder="1" applyAlignment="1">
      <alignment horizontal="right" vertical="top" wrapText="1"/>
    </xf>
    <xf numFmtId="166" fontId="10" fillId="0" borderId="2" xfId="0" applyNumberFormat="1" applyFont="1" applyBorder="1" applyAlignment="1">
      <alignment horizontal="right" vertical="top" wrapText="1"/>
    </xf>
    <xf numFmtId="4" fontId="6" fillId="0" borderId="2" xfId="0" applyNumberFormat="1" applyFont="1" applyBorder="1" applyAlignment="1">
      <alignment horizontal="right" vertical="top"/>
    </xf>
    <xf numFmtId="4" fontId="12" fillId="0" borderId="2" xfId="0" applyNumberFormat="1" applyFont="1" applyBorder="1" applyAlignment="1">
      <alignment horizontal="right" vertical="top"/>
    </xf>
    <xf numFmtId="0" fontId="11" fillId="0" borderId="2" xfId="0" applyFont="1" applyBorder="1" applyAlignment="1">
      <alignment wrapText="1"/>
    </xf>
    <xf numFmtId="164" fontId="6" fillId="0" borderId="0" xfId="0" applyNumberFormat="1" applyFont="1"/>
    <xf numFmtId="169" fontId="12" fillId="0" borderId="2" xfId="0" applyNumberFormat="1" applyFont="1" applyBorder="1" applyAlignment="1">
      <alignment horizontal="right" vertical="top"/>
    </xf>
    <xf numFmtId="169" fontId="11" fillId="0" borderId="2" xfId="0" applyNumberFormat="1" applyFont="1" applyBorder="1" applyAlignment="1">
      <alignment horizontal="right" vertical="top"/>
    </xf>
    <xf numFmtId="0" fontId="1" fillId="0" borderId="2" xfId="0" applyFont="1" applyBorder="1"/>
    <xf numFmtId="0" fontId="1" fillId="0" borderId="2" xfId="0" applyFont="1" applyBorder="1" applyAlignment="1">
      <alignment horizontal="right"/>
    </xf>
    <xf numFmtId="0" fontId="1" fillId="0" borderId="0" xfId="0" applyFont="1"/>
    <xf numFmtId="0" fontId="13" fillId="0" borderId="0" xfId="0" applyFont="1"/>
    <xf numFmtId="0" fontId="11" fillId="0" borderId="0" xfId="4" applyFont="1"/>
    <xf numFmtId="0" fontId="12" fillId="0" borderId="0" xfId="0" applyFont="1"/>
    <xf numFmtId="170" fontId="11" fillId="0" borderId="0" xfId="5" applyFont="1" applyFill="1" applyBorder="1" applyAlignment="1">
      <alignment horizontal="right"/>
    </xf>
    <xf numFmtId="0" fontId="12" fillId="0" borderId="0" xfId="0" applyFont="1" applyAlignment="1">
      <alignment horizontal="right"/>
    </xf>
    <xf numFmtId="4" fontId="12" fillId="0" borderId="0" xfId="0" applyNumberFormat="1" applyFont="1"/>
    <xf numFmtId="0" fontId="15" fillId="0" borderId="0" xfId="0" applyFont="1"/>
    <xf numFmtId="0" fontId="11" fillId="0" borderId="0" xfId="0" applyFont="1"/>
    <xf numFmtId="0" fontId="12" fillId="0" borderId="0" xfId="6" applyFont="1" applyAlignment="1">
      <alignment horizontal="left" vertical="top"/>
    </xf>
    <xf numFmtId="0" fontId="12" fillId="0" borderId="0" xfId="6" applyFont="1" applyAlignment="1">
      <alignment horizontal="left" vertical="top" wrapText="1"/>
    </xf>
    <xf numFmtId="4" fontId="12" fillId="0" borderId="0" xfId="6" applyNumberFormat="1" applyFont="1" applyAlignment="1">
      <alignment horizontal="left" vertical="top" wrapText="1"/>
    </xf>
    <xf numFmtId="0" fontId="11" fillId="0" borderId="0" xfId="0" applyFont="1" applyAlignment="1">
      <alignment horizontal="center"/>
    </xf>
    <xf numFmtId="0" fontId="2" fillId="0" borderId="0" xfId="0" applyFont="1"/>
    <xf numFmtId="0" fontId="12" fillId="0" borderId="0" xfId="0" applyFont="1" applyAlignment="1">
      <alignment horizontal="center"/>
    </xf>
    <xf numFmtId="171" fontId="12" fillId="0" borderId="0" xfId="0" applyNumberFormat="1" applyFont="1" applyAlignment="1">
      <alignment horizontal="center"/>
    </xf>
    <xf numFmtId="0" fontId="11" fillId="0" borderId="0" xfId="0" applyFont="1" applyAlignment="1">
      <alignment wrapText="1"/>
    </xf>
    <xf numFmtId="0" fontId="12" fillId="0" borderId="0" xfId="0" applyFont="1" applyAlignment="1">
      <alignment horizontal="left"/>
    </xf>
    <xf numFmtId="172" fontId="12" fillId="0" borderId="0" xfId="5" applyNumberFormat="1" applyFont="1" applyFill="1" applyAlignment="1"/>
    <xf numFmtId="172" fontId="12" fillId="0" borderId="0" xfId="5" applyNumberFormat="1" applyFont="1" applyFill="1" applyBorder="1" applyAlignment="1"/>
    <xf numFmtId="172" fontId="12" fillId="0" borderId="0" xfId="7" applyNumberFormat="1" applyFont="1" applyFill="1" applyBorder="1" applyAlignment="1"/>
    <xf numFmtId="0" fontId="7" fillId="0" borderId="0" xfId="8" applyFont="1"/>
    <xf numFmtId="0" fontId="11" fillId="0" borderId="0" xfId="0" applyFont="1" applyAlignment="1">
      <alignment horizontal="left" wrapText="1"/>
    </xf>
    <xf numFmtId="172" fontId="11" fillId="0" borderId="0" xfId="5" applyNumberFormat="1" applyFont="1" applyFill="1" applyBorder="1" applyAlignment="1">
      <alignment horizontal="right"/>
    </xf>
    <xf numFmtId="0" fontId="16" fillId="0" borderId="0" xfId="0" applyFont="1"/>
    <xf numFmtId="0" fontId="7" fillId="0" borderId="0" xfId="9" applyFont="1" applyAlignment="1">
      <alignment horizontal="left" vertical="top"/>
    </xf>
    <xf numFmtId="0" fontId="11" fillId="0" borderId="0" xfId="6" applyFont="1"/>
    <xf numFmtId="49" fontId="4" fillId="4" borderId="2" xfId="3" applyNumberFormat="1" applyFont="1" applyFill="1" applyBorder="1" applyAlignment="1" applyProtection="1">
      <alignment horizontal="center" vertical="center"/>
    </xf>
    <xf numFmtId="49" fontId="4" fillId="4" borderId="2" xfId="3" applyNumberFormat="1" applyFont="1" applyFill="1" applyBorder="1" applyAlignment="1" applyProtection="1">
      <alignment horizontal="center" vertical="center" wrapText="1"/>
    </xf>
    <xf numFmtId="3" fontId="4" fillId="4" borderId="2" xfId="3" applyNumberFormat="1" applyFont="1" applyFill="1" applyBorder="1" applyAlignment="1" applyProtection="1">
      <alignment horizontal="center" wrapText="1"/>
    </xf>
    <xf numFmtId="3" fontId="4" fillId="4" borderId="2" xfId="3" applyNumberFormat="1" applyFont="1" applyFill="1" applyBorder="1" applyAlignment="1" applyProtection="1">
      <alignment horizontal="center" vertical="center" wrapText="1"/>
    </xf>
    <xf numFmtId="43" fontId="1" fillId="0" borderId="0" xfId="0" applyNumberFormat="1" applyFont="1"/>
    <xf numFmtId="0" fontId="10" fillId="0" borderId="2" xfId="0" applyFont="1" applyBorder="1" applyAlignment="1">
      <alignment horizontal="center" vertical="top"/>
    </xf>
    <xf numFmtId="170" fontId="10" fillId="0" borderId="2" xfId="1" applyFont="1" applyBorder="1" applyAlignment="1">
      <alignment horizontal="center" vertical="top"/>
    </xf>
    <xf numFmtId="4" fontId="10" fillId="0" borderId="2" xfId="0" applyNumberFormat="1" applyFont="1" applyBorder="1" applyAlignment="1">
      <alignment horizontal="center" vertical="top" wrapText="1"/>
    </xf>
    <xf numFmtId="3" fontId="4" fillId="4" borderId="2" xfId="3" applyNumberFormat="1" applyFont="1" applyFill="1" applyBorder="1" applyAlignment="1" applyProtection="1">
      <alignment horizontal="right" vertical="center" wrapText="1"/>
    </xf>
    <xf numFmtId="170" fontId="10" fillId="0" borderId="2" xfId="1" applyFont="1" applyFill="1" applyBorder="1" applyAlignment="1">
      <alignment horizontal="center" vertical="top"/>
    </xf>
    <xf numFmtId="2" fontId="10" fillId="0" borderId="2" xfId="0" applyNumberFormat="1" applyFont="1" applyBorder="1" applyAlignment="1">
      <alignment horizontal="center" vertical="top" wrapText="1"/>
    </xf>
    <xf numFmtId="0" fontId="11" fillId="0" borderId="3" xfId="4" applyFont="1" applyBorder="1" applyAlignment="1">
      <alignment horizontal="left"/>
    </xf>
    <xf numFmtId="170" fontId="12" fillId="0" borderId="0" xfId="4" applyNumberFormat="1" applyFont="1"/>
    <xf numFmtId="0" fontId="11" fillId="0" borderId="2" xfId="4" applyFont="1" applyBorder="1"/>
    <xf numFmtId="0" fontId="12" fillId="0" borderId="4" xfId="4" applyFont="1" applyBorder="1" applyAlignment="1">
      <alignment horizontal="left"/>
    </xf>
    <xf numFmtId="0" fontId="12" fillId="0" borderId="5" xfId="4" applyFont="1" applyBorder="1" applyAlignment="1">
      <alignment horizontal="left"/>
    </xf>
    <xf numFmtId="0" fontId="12" fillId="0" borderId="6" xfId="4" applyFont="1" applyBorder="1" applyAlignment="1">
      <alignment horizontal="left"/>
    </xf>
    <xf numFmtId="172" fontId="12" fillId="0" borderId="2" xfId="5" applyNumberFormat="1" applyFont="1" applyFill="1" applyBorder="1"/>
    <xf numFmtId="0" fontId="12" fillId="0" borderId="0" xfId="4" applyFont="1" applyAlignment="1">
      <alignment wrapText="1"/>
    </xf>
    <xf numFmtId="0" fontId="12" fillId="0" borderId="0" xfId="4" applyFont="1" applyAlignment="1">
      <alignment horizontal="left" wrapText="1"/>
    </xf>
    <xf numFmtId="0" fontId="12" fillId="0" borderId="0" xfId="4" applyFont="1"/>
    <xf numFmtId="0" fontId="11" fillId="0" borderId="3" xfId="4" applyFont="1" applyBorder="1"/>
    <xf numFmtId="0" fontId="11" fillId="0" borderId="4" xfId="4" applyFont="1" applyBorder="1"/>
    <xf numFmtId="0" fontId="11" fillId="0" borderId="5" xfId="4" applyFont="1" applyBorder="1"/>
    <xf numFmtId="0" fontId="11" fillId="0" borderId="6" xfId="4" applyFont="1" applyBorder="1"/>
    <xf numFmtId="0" fontId="12" fillId="0" borderId="2" xfId="4" applyFont="1" applyBorder="1"/>
    <xf numFmtId="4" fontId="12" fillId="0" borderId="2" xfId="4" applyNumberFormat="1" applyFont="1" applyBorder="1"/>
    <xf numFmtId="170" fontId="12" fillId="0" borderId="2" xfId="5" applyFont="1" applyFill="1" applyBorder="1"/>
    <xf numFmtId="2" fontId="18" fillId="0" borderId="2" xfId="0" applyNumberFormat="1" applyFont="1" applyBorder="1" applyAlignment="1">
      <alignment horizontal="center" vertical="top" wrapText="1"/>
    </xf>
    <xf numFmtId="0" fontId="19" fillId="0" borderId="0" xfId="4" applyFont="1" applyAlignment="1">
      <alignment horizontal="left"/>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shrinkToFit="1"/>
    </xf>
    <xf numFmtId="0" fontId="3" fillId="2" borderId="0" xfId="0" applyFont="1" applyFill="1" applyAlignment="1">
      <alignment horizontal="center" wrapText="1"/>
    </xf>
    <xf numFmtId="0" fontId="4" fillId="2" borderId="0" xfId="0" applyFont="1" applyFill="1" applyAlignment="1">
      <alignment horizontal="center"/>
    </xf>
    <xf numFmtId="0" fontId="4" fillId="2" borderId="1" xfId="0" applyFont="1" applyFill="1" applyBorder="1" applyAlignment="1">
      <alignment horizontal="center" vertical="center"/>
    </xf>
    <xf numFmtId="0" fontId="11" fillId="0" borderId="3" xfId="4" applyFont="1" applyBorder="1" applyAlignment="1">
      <alignment horizontal="left"/>
    </xf>
    <xf numFmtId="0" fontId="0" fillId="0" borderId="0" xfId="0" applyAlignment="1">
      <alignment horizontal="left" wrapText="1"/>
    </xf>
    <xf numFmtId="0" fontId="12" fillId="0" borderId="0" xfId="6" applyFont="1" applyAlignment="1">
      <alignment horizontal="left" vertical="top" wrapText="1"/>
    </xf>
    <xf numFmtId="0" fontId="0" fillId="0" borderId="0" xfId="0" applyAlignment="1">
      <alignment wrapText="1"/>
    </xf>
    <xf numFmtId="0" fontId="17" fillId="0" borderId="0" xfId="9" applyFont="1" applyAlignment="1">
      <alignment horizontal="left" vertical="top" wrapText="1"/>
    </xf>
  </cellXfs>
  <cellStyles count="10">
    <cellStyle name="Comma" xfId="1" builtinId="3"/>
    <cellStyle name="Comma 3" xfId="5" xr:uid="{A26386EA-6E24-413B-BD3A-8CCA086D5482}"/>
    <cellStyle name="Comma_Template Portfolio Disclosure - 30.09.2013" xfId="7" xr:uid="{821A1A10-0901-40C9-AC5C-4140CE0531F5}"/>
    <cellStyle name="Normal" xfId="0" builtinId="0"/>
    <cellStyle name="Normal 2 2 2" xfId="4" xr:uid="{A1949C41-0810-400C-B5CE-20E0A5D07DC9}"/>
    <cellStyle name="Normal 2 3 2" xfId="6" xr:uid="{EA2D6157-8989-45A5-9856-0B9A5E87B808}"/>
    <cellStyle name="Normal 3" xfId="3" xr:uid="{FFEA2973-2FDF-49B6-81F8-5F01046FF7E9}"/>
    <cellStyle name="Normal 4_IF" xfId="8" xr:uid="{464A256D-DC54-442F-8560-258989E8EC40}"/>
    <cellStyle name="Normal 4_LD" xfId="9" xr:uid="{21EC5576-2623-4F0B-A1AA-2D077EBC9DF2}"/>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195</xdr:row>
      <xdr:rowOff>6350</xdr:rowOff>
    </xdr:from>
    <xdr:to>
      <xdr:col>1</xdr:col>
      <xdr:colOff>2971800</xdr:colOff>
      <xdr:row>200</xdr:row>
      <xdr:rowOff>101600</xdr:rowOff>
    </xdr:to>
    <xdr:pic>
      <xdr:nvPicPr>
        <xdr:cNvPr id="2" name="Picture 3">
          <a:extLst>
            <a:ext uri="{FF2B5EF4-FFF2-40B4-BE49-F238E27FC236}">
              <a16:creationId xmlns:a16="http://schemas.microsoft.com/office/drawing/2014/main" id="{79831531-E18D-4493-8C7B-C0011BC1D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7490400"/>
          <a:ext cx="34671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3289300</xdr:colOff>
      <xdr:row>195</xdr:row>
      <xdr:rowOff>19050</xdr:rowOff>
    </xdr:from>
    <xdr:to>
      <xdr:col>4</xdr:col>
      <xdr:colOff>438150</xdr:colOff>
      <xdr:row>200</xdr:row>
      <xdr:rowOff>114300</xdr:rowOff>
    </xdr:to>
    <xdr:pic>
      <xdr:nvPicPr>
        <xdr:cNvPr id="3" name="Picture 4">
          <a:extLst>
            <a:ext uri="{FF2B5EF4-FFF2-40B4-BE49-F238E27FC236}">
              <a16:creationId xmlns:a16="http://schemas.microsoft.com/office/drawing/2014/main" id="{50A5EFD4-B2B3-404E-9927-3C188D80C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9150" y="37503100"/>
          <a:ext cx="34544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2.%20Operations%20FY%202026-27\PORTFOLIOS\MONTHLY\Sep%202026\SIF\WSIF_PORTFOLIO_V3_REPORT_Sep%202026.xls" TargetMode="External"/><Relationship Id="rId1" Type="http://schemas.openxmlformats.org/officeDocument/2006/relationships/externalLinkPath" Target="WSIF_PORTFOLIO_V3_REPORT_Sep%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ED HOLDING STATEMENT"/>
      <sheetName val="WSLS"/>
      <sheetName val="WSXT"/>
      <sheetName val="Sheet1"/>
      <sheetName val="XDO_METADATA"/>
    </sheetNames>
    <sheetDataSet>
      <sheetData sheetId="0"/>
      <sheetData sheetId="1">
        <row r="7">
          <cell r="F7">
            <v>5.8762306494087424E-2</v>
          </cell>
        </row>
        <row r="8">
          <cell r="F8">
            <v>4.6811795292111012E-2</v>
          </cell>
        </row>
        <row r="9">
          <cell r="F9">
            <v>3.4005357893826915E-2</v>
          </cell>
        </row>
        <row r="10">
          <cell r="F10">
            <v>3.3848528903526423E-2</v>
          </cell>
        </row>
        <row r="11">
          <cell r="F11">
            <v>2.7596690453330019E-2</v>
          </cell>
        </row>
        <row r="12">
          <cell r="F12">
            <v>2.5963643443831671E-2</v>
          </cell>
        </row>
        <row r="13">
          <cell r="F13">
            <v>2.5870623952832444E-2</v>
          </cell>
        </row>
        <row r="14">
          <cell r="F14">
            <v>2.5076055322216347E-2</v>
          </cell>
        </row>
        <row r="15">
          <cell r="F15">
            <v>2.3710908711028142E-2</v>
          </cell>
        </row>
        <row r="16">
          <cell r="F16">
            <v>2.3550407742858076E-2</v>
          </cell>
        </row>
        <row r="17">
          <cell r="F17">
            <v>2.2225179084639102E-2</v>
          </cell>
        </row>
        <row r="18">
          <cell r="F18">
            <v>2.1262528628315756E-2</v>
          </cell>
        </row>
        <row r="19">
          <cell r="F19">
            <v>2.096948110414399E-2</v>
          </cell>
        </row>
        <row r="20">
          <cell r="F20">
            <v>2.0811822957550366E-2</v>
          </cell>
        </row>
        <row r="21">
          <cell r="F21">
            <v>1.9918703178950878E-2</v>
          </cell>
        </row>
        <row r="22">
          <cell r="F22">
            <v>1.9566918791538133E-2</v>
          </cell>
        </row>
        <row r="23">
          <cell r="F23">
            <v>1.9092126746402007E-2</v>
          </cell>
        </row>
        <row r="24">
          <cell r="F24">
            <v>1.9038849901041464E-2</v>
          </cell>
        </row>
        <row r="25">
          <cell r="F25">
            <v>1.881829432706902E-2</v>
          </cell>
        </row>
        <row r="26">
          <cell r="F26">
            <v>1.8329960833016017E-2</v>
          </cell>
        </row>
        <row r="27">
          <cell r="F27">
            <v>1.7884901242803241E-2</v>
          </cell>
        </row>
        <row r="28">
          <cell r="F28">
            <v>1.7732511318394366E-2</v>
          </cell>
        </row>
        <row r="29">
          <cell r="F29">
            <v>1.7720254493167529E-2</v>
          </cell>
        </row>
        <row r="30">
          <cell r="F30">
            <v>1.747150760522868E-2</v>
          </cell>
        </row>
        <row r="31">
          <cell r="F31">
            <v>1.7436429319091541E-2</v>
          </cell>
        </row>
        <row r="32">
          <cell r="F32">
            <v>1.7126815489084846E-2</v>
          </cell>
        </row>
        <row r="33">
          <cell r="F33">
            <v>1.7009549099056533E-2</v>
          </cell>
        </row>
        <row r="34">
          <cell r="F34">
            <v>1.6072365586022163E-2</v>
          </cell>
        </row>
        <row r="35">
          <cell r="F35">
            <v>1.5553076844725061E-2</v>
          </cell>
        </row>
        <row r="36">
          <cell r="F36">
            <v>1.5418063264469142E-2</v>
          </cell>
        </row>
        <row r="37">
          <cell r="F37">
            <v>1.4523605867247399E-2</v>
          </cell>
        </row>
        <row r="38">
          <cell r="F38">
            <v>1.2232424341640446E-2</v>
          </cell>
        </row>
        <row r="39">
          <cell r="F39">
            <v>1.1264680496659305E-2</v>
          </cell>
        </row>
        <row r="40">
          <cell r="F40">
            <v>1.1155705669562284E-2</v>
          </cell>
        </row>
        <row r="41">
          <cell r="F41">
            <v>1.0621691112499203E-2</v>
          </cell>
        </row>
        <row r="42">
          <cell r="F42">
            <v>1.0350083390571222E-2</v>
          </cell>
        </row>
        <row r="43">
          <cell r="F43">
            <v>1.006832641657246E-2</v>
          </cell>
        </row>
        <row r="44">
          <cell r="F44">
            <v>1.0025684092925799E-2</v>
          </cell>
        </row>
        <row r="45">
          <cell r="F45">
            <v>9.695206084664185E-3</v>
          </cell>
        </row>
        <row r="46">
          <cell r="F46">
            <v>8.4396265550680909E-3</v>
          </cell>
        </row>
        <row r="47">
          <cell r="F47">
            <v>8.4024412169588537E-3</v>
          </cell>
        </row>
        <row r="48">
          <cell r="F48">
            <v>7.9959303347030188E-3</v>
          </cell>
        </row>
        <row r="49">
          <cell r="F49">
            <v>7.0069629314393391E-3</v>
          </cell>
        </row>
        <row r="50">
          <cell r="F50">
            <v>6.7483822498639739E-3</v>
          </cell>
        </row>
        <row r="51">
          <cell r="F51">
            <v>6.5802170347238143E-3</v>
          </cell>
        </row>
        <row r="52">
          <cell r="F52">
            <v>6.414116181851749E-3</v>
          </cell>
        </row>
        <row r="53">
          <cell r="F53">
            <v>6.1168717054259575E-3</v>
          </cell>
        </row>
        <row r="54">
          <cell r="F54">
            <v>5.841998339592396E-3</v>
          </cell>
        </row>
        <row r="55">
          <cell r="F55">
            <v>5.5539053796247739E-3</v>
          </cell>
        </row>
        <row r="56">
          <cell r="F56">
            <v>5.1455070533636188E-3</v>
          </cell>
        </row>
        <row r="57">
          <cell r="F57">
            <v>3.6852443702635571E-3</v>
          </cell>
        </row>
      </sheetData>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EC40-AF8B-4556-B0E9-BA1F6F44A555}">
  <sheetPr>
    <pageSetUpPr autoPageBreaks="0"/>
  </sheetPr>
  <dimension ref="A1:J206"/>
  <sheetViews>
    <sheetView tabSelected="1" zoomScale="90" zoomScaleNormal="90" workbookViewId="0">
      <selection activeCell="A2" sqref="A2:I2"/>
    </sheetView>
  </sheetViews>
  <sheetFormatPr defaultRowHeight="14.5" x14ac:dyDescent="0.35"/>
  <cols>
    <col min="1" max="1" width="19.1796875" customWidth="1"/>
    <col min="2" max="2" width="47.453125" customWidth="1"/>
    <col min="3" max="3" width="23.1796875" customWidth="1"/>
    <col min="4" max="4" width="19.6328125" bestFit="1" customWidth="1"/>
    <col min="5" max="5" width="16.453125" bestFit="1" customWidth="1"/>
    <col min="6" max="6" width="13.54296875" customWidth="1"/>
    <col min="7" max="8" width="16.81640625" customWidth="1"/>
    <col min="9" max="9" width="12.453125" customWidth="1"/>
    <col min="10" max="10" width="8.81640625" customWidth="1"/>
    <col min="248" max="248" width="19.1796875" customWidth="1"/>
    <col min="249" max="249" width="47.453125" customWidth="1"/>
    <col min="250" max="250" width="23.1796875" customWidth="1"/>
    <col min="251" max="251" width="19.6328125" bestFit="1" customWidth="1"/>
    <col min="252" max="252" width="16.453125" bestFit="1" customWidth="1"/>
    <col min="253" max="253" width="13.54296875" customWidth="1"/>
    <col min="254" max="255" width="16.81640625" customWidth="1"/>
    <col min="256" max="256" width="12.453125" customWidth="1"/>
    <col min="257" max="257" width="8.81640625" customWidth="1"/>
    <col min="258" max="258" width="11.08984375" bestFit="1" customWidth="1"/>
    <col min="259" max="259" width="10.1796875" bestFit="1" customWidth="1"/>
    <col min="260" max="263" width="8.81640625" bestFit="1" customWidth="1"/>
    <col min="265" max="265" width="8.81640625" bestFit="1" customWidth="1"/>
    <col min="504" max="504" width="19.1796875" customWidth="1"/>
    <col min="505" max="505" width="47.453125" customWidth="1"/>
    <col min="506" max="506" width="23.1796875" customWidth="1"/>
    <col min="507" max="507" width="19.6328125" bestFit="1" customWidth="1"/>
    <col min="508" max="508" width="16.453125" bestFit="1" customWidth="1"/>
    <col min="509" max="509" width="13.54296875" customWidth="1"/>
    <col min="510" max="511" width="16.81640625" customWidth="1"/>
    <col min="512" max="512" width="12.453125" customWidth="1"/>
    <col min="513" max="513" width="8.81640625" customWidth="1"/>
    <col min="514" max="514" width="11.08984375" bestFit="1" customWidth="1"/>
    <col min="515" max="515" width="10.1796875" bestFit="1" customWidth="1"/>
    <col min="516" max="519" width="8.81640625" bestFit="1" customWidth="1"/>
    <col min="521" max="521" width="8.81640625" bestFit="1" customWidth="1"/>
    <col min="760" max="760" width="19.1796875" customWidth="1"/>
    <col min="761" max="761" width="47.453125" customWidth="1"/>
    <col min="762" max="762" width="23.1796875" customWidth="1"/>
    <col min="763" max="763" width="19.6328125" bestFit="1" customWidth="1"/>
    <col min="764" max="764" width="16.453125" bestFit="1" customWidth="1"/>
    <col min="765" max="765" width="13.54296875" customWidth="1"/>
    <col min="766" max="767" width="16.81640625" customWidth="1"/>
    <col min="768" max="768" width="12.453125" customWidth="1"/>
    <col min="769" max="769" width="8.81640625" customWidth="1"/>
    <col min="770" max="770" width="11.08984375" bestFit="1" customWidth="1"/>
    <col min="771" max="771" width="10.1796875" bestFit="1" customWidth="1"/>
    <col min="772" max="775" width="8.81640625" bestFit="1" customWidth="1"/>
    <col min="777" max="777" width="8.81640625" bestFit="1" customWidth="1"/>
    <col min="1016" max="1016" width="19.1796875" customWidth="1"/>
    <col min="1017" max="1017" width="47.453125" customWidth="1"/>
    <col min="1018" max="1018" width="23.1796875" customWidth="1"/>
    <col min="1019" max="1019" width="19.6328125" bestFit="1" customWidth="1"/>
    <col min="1020" max="1020" width="16.453125" bestFit="1" customWidth="1"/>
    <col min="1021" max="1021" width="13.54296875" customWidth="1"/>
    <col min="1022" max="1023" width="16.81640625" customWidth="1"/>
    <col min="1024" max="1024" width="12.453125" customWidth="1"/>
    <col min="1025" max="1025" width="8.81640625" customWidth="1"/>
    <col min="1026" max="1026" width="11.08984375" bestFit="1" customWidth="1"/>
    <col min="1027" max="1027" width="10.1796875" bestFit="1" customWidth="1"/>
    <col min="1028" max="1031" width="8.81640625" bestFit="1" customWidth="1"/>
    <col min="1033" max="1033" width="8.81640625" bestFit="1" customWidth="1"/>
    <col min="1272" max="1272" width="19.1796875" customWidth="1"/>
    <col min="1273" max="1273" width="47.453125" customWidth="1"/>
    <col min="1274" max="1274" width="23.1796875" customWidth="1"/>
    <col min="1275" max="1275" width="19.6328125" bestFit="1" customWidth="1"/>
    <col min="1276" max="1276" width="16.453125" bestFit="1" customWidth="1"/>
    <col min="1277" max="1277" width="13.54296875" customWidth="1"/>
    <col min="1278" max="1279" width="16.81640625" customWidth="1"/>
    <col min="1280" max="1280" width="12.453125" customWidth="1"/>
    <col min="1281" max="1281" width="8.81640625" customWidth="1"/>
    <col min="1282" max="1282" width="11.08984375" bestFit="1" customWidth="1"/>
    <col min="1283" max="1283" width="10.1796875" bestFit="1" customWidth="1"/>
    <col min="1284" max="1287" width="8.81640625" bestFit="1" customWidth="1"/>
    <col min="1289" max="1289" width="8.81640625" bestFit="1" customWidth="1"/>
    <col min="1528" max="1528" width="19.1796875" customWidth="1"/>
    <col min="1529" max="1529" width="47.453125" customWidth="1"/>
    <col min="1530" max="1530" width="23.1796875" customWidth="1"/>
    <col min="1531" max="1531" width="19.6328125" bestFit="1" customWidth="1"/>
    <col min="1532" max="1532" width="16.453125" bestFit="1" customWidth="1"/>
    <col min="1533" max="1533" width="13.54296875" customWidth="1"/>
    <col min="1534" max="1535" width="16.81640625" customWidth="1"/>
    <col min="1536" max="1536" width="12.453125" customWidth="1"/>
    <col min="1537" max="1537" width="8.81640625" customWidth="1"/>
    <col min="1538" max="1538" width="11.08984375" bestFit="1" customWidth="1"/>
    <col min="1539" max="1539" width="10.1796875" bestFit="1" customWidth="1"/>
    <col min="1540" max="1543" width="8.81640625" bestFit="1" customWidth="1"/>
    <col min="1545" max="1545" width="8.81640625" bestFit="1" customWidth="1"/>
    <col min="1784" max="1784" width="19.1796875" customWidth="1"/>
    <col min="1785" max="1785" width="47.453125" customWidth="1"/>
    <col min="1786" max="1786" width="23.1796875" customWidth="1"/>
    <col min="1787" max="1787" width="19.6328125" bestFit="1" customWidth="1"/>
    <col min="1788" max="1788" width="16.453125" bestFit="1" customWidth="1"/>
    <col min="1789" max="1789" width="13.54296875" customWidth="1"/>
    <col min="1790" max="1791" width="16.81640625" customWidth="1"/>
    <col min="1792" max="1792" width="12.453125" customWidth="1"/>
    <col min="1793" max="1793" width="8.81640625" customWidth="1"/>
    <col min="1794" max="1794" width="11.08984375" bestFit="1" customWidth="1"/>
    <col min="1795" max="1795" width="10.1796875" bestFit="1" customWidth="1"/>
    <col min="1796" max="1799" width="8.81640625" bestFit="1" customWidth="1"/>
    <col min="1801" max="1801" width="8.81640625" bestFit="1" customWidth="1"/>
    <col min="2040" max="2040" width="19.1796875" customWidth="1"/>
    <col min="2041" max="2041" width="47.453125" customWidth="1"/>
    <col min="2042" max="2042" width="23.1796875" customWidth="1"/>
    <col min="2043" max="2043" width="19.6328125" bestFit="1" customWidth="1"/>
    <col min="2044" max="2044" width="16.453125" bestFit="1" customWidth="1"/>
    <col min="2045" max="2045" width="13.54296875" customWidth="1"/>
    <col min="2046" max="2047" width="16.81640625" customWidth="1"/>
    <col min="2048" max="2048" width="12.453125" customWidth="1"/>
    <col min="2049" max="2049" width="8.81640625" customWidth="1"/>
    <col min="2050" max="2050" width="11.08984375" bestFit="1" customWidth="1"/>
    <col min="2051" max="2051" width="10.1796875" bestFit="1" customWidth="1"/>
    <col min="2052" max="2055" width="8.81640625" bestFit="1" customWidth="1"/>
    <col min="2057" max="2057" width="8.81640625" bestFit="1" customWidth="1"/>
    <col min="2296" max="2296" width="19.1796875" customWidth="1"/>
    <col min="2297" max="2297" width="47.453125" customWidth="1"/>
    <col min="2298" max="2298" width="23.1796875" customWidth="1"/>
    <col min="2299" max="2299" width="19.6328125" bestFit="1" customWidth="1"/>
    <col min="2300" max="2300" width="16.453125" bestFit="1" customWidth="1"/>
    <col min="2301" max="2301" width="13.54296875" customWidth="1"/>
    <col min="2302" max="2303" width="16.81640625" customWidth="1"/>
    <col min="2304" max="2304" width="12.453125" customWidth="1"/>
    <col min="2305" max="2305" width="8.81640625" customWidth="1"/>
    <col min="2306" max="2306" width="11.08984375" bestFit="1" customWidth="1"/>
    <col min="2307" max="2307" width="10.1796875" bestFit="1" customWidth="1"/>
    <col min="2308" max="2311" width="8.81640625" bestFit="1" customWidth="1"/>
    <col min="2313" max="2313" width="8.81640625" bestFit="1" customWidth="1"/>
    <col min="2552" max="2552" width="19.1796875" customWidth="1"/>
    <col min="2553" max="2553" width="47.453125" customWidth="1"/>
    <col min="2554" max="2554" width="23.1796875" customWidth="1"/>
    <col min="2555" max="2555" width="19.6328125" bestFit="1" customWidth="1"/>
    <col min="2556" max="2556" width="16.453125" bestFit="1" customWidth="1"/>
    <col min="2557" max="2557" width="13.54296875" customWidth="1"/>
    <col min="2558" max="2559" width="16.81640625" customWidth="1"/>
    <col min="2560" max="2560" width="12.453125" customWidth="1"/>
    <col min="2561" max="2561" width="8.81640625" customWidth="1"/>
    <col min="2562" max="2562" width="11.08984375" bestFit="1" customWidth="1"/>
    <col min="2563" max="2563" width="10.1796875" bestFit="1" customWidth="1"/>
    <col min="2564" max="2567" width="8.81640625" bestFit="1" customWidth="1"/>
    <col min="2569" max="2569" width="8.81640625" bestFit="1" customWidth="1"/>
    <col min="2808" max="2808" width="19.1796875" customWidth="1"/>
    <col min="2809" max="2809" width="47.453125" customWidth="1"/>
    <col min="2810" max="2810" width="23.1796875" customWidth="1"/>
    <col min="2811" max="2811" width="19.6328125" bestFit="1" customWidth="1"/>
    <col min="2812" max="2812" width="16.453125" bestFit="1" customWidth="1"/>
    <col min="2813" max="2813" width="13.54296875" customWidth="1"/>
    <col min="2814" max="2815" width="16.81640625" customWidth="1"/>
    <col min="2816" max="2816" width="12.453125" customWidth="1"/>
    <col min="2817" max="2817" width="8.81640625" customWidth="1"/>
    <col min="2818" max="2818" width="11.08984375" bestFit="1" customWidth="1"/>
    <col min="2819" max="2819" width="10.1796875" bestFit="1" customWidth="1"/>
    <col min="2820" max="2823" width="8.81640625" bestFit="1" customWidth="1"/>
    <col min="2825" max="2825" width="8.81640625" bestFit="1" customWidth="1"/>
    <col min="3064" max="3064" width="19.1796875" customWidth="1"/>
    <col min="3065" max="3065" width="47.453125" customWidth="1"/>
    <col min="3066" max="3066" width="23.1796875" customWidth="1"/>
    <col min="3067" max="3067" width="19.6328125" bestFit="1" customWidth="1"/>
    <col min="3068" max="3068" width="16.453125" bestFit="1" customWidth="1"/>
    <col min="3069" max="3069" width="13.54296875" customWidth="1"/>
    <col min="3070" max="3071" width="16.81640625" customWidth="1"/>
    <col min="3072" max="3072" width="12.453125" customWidth="1"/>
    <col min="3073" max="3073" width="8.81640625" customWidth="1"/>
    <col min="3074" max="3074" width="11.08984375" bestFit="1" customWidth="1"/>
    <col min="3075" max="3075" width="10.1796875" bestFit="1" customWidth="1"/>
    <col min="3076" max="3079" width="8.81640625" bestFit="1" customWidth="1"/>
    <col min="3081" max="3081" width="8.81640625" bestFit="1" customWidth="1"/>
    <col min="3320" max="3320" width="19.1796875" customWidth="1"/>
    <col min="3321" max="3321" width="47.453125" customWidth="1"/>
    <col min="3322" max="3322" width="23.1796875" customWidth="1"/>
    <col min="3323" max="3323" width="19.6328125" bestFit="1" customWidth="1"/>
    <col min="3324" max="3324" width="16.453125" bestFit="1" customWidth="1"/>
    <col min="3325" max="3325" width="13.54296875" customWidth="1"/>
    <col min="3326" max="3327" width="16.81640625" customWidth="1"/>
    <col min="3328" max="3328" width="12.453125" customWidth="1"/>
    <col min="3329" max="3329" width="8.81640625" customWidth="1"/>
    <col min="3330" max="3330" width="11.08984375" bestFit="1" customWidth="1"/>
    <col min="3331" max="3331" width="10.1796875" bestFit="1" customWidth="1"/>
    <col min="3332" max="3335" width="8.81640625" bestFit="1" customWidth="1"/>
    <col min="3337" max="3337" width="8.81640625" bestFit="1" customWidth="1"/>
    <col min="3576" max="3576" width="19.1796875" customWidth="1"/>
    <col min="3577" max="3577" width="47.453125" customWidth="1"/>
    <col min="3578" max="3578" width="23.1796875" customWidth="1"/>
    <col min="3579" max="3579" width="19.6328125" bestFit="1" customWidth="1"/>
    <col min="3580" max="3580" width="16.453125" bestFit="1" customWidth="1"/>
    <col min="3581" max="3581" width="13.54296875" customWidth="1"/>
    <col min="3582" max="3583" width="16.81640625" customWidth="1"/>
    <col min="3584" max="3584" width="12.453125" customWidth="1"/>
    <col min="3585" max="3585" width="8.81640625" customWidth="1"/>
    <col min="3586" max="3586" width="11.08984375" bestFit="1" customWidth="1"/>
    <col min="3587" max="3587" width="10.1796875" bestFit="1" customWidth="1"/>
    <col min="3588" max="3591" width="8.81640625" bestFit="1" customWidth="1"/>
    <col min="3593" max="3593" width="8.81640625" bestFit="1" customWidth="1"/>
    <col min="3832" max="3832" width="19.1796875" customWidth="1"/>
    <col min="3833" max="3833" width="47.453125" customWidth="1"/>
    <col min="3834" max="3834" width="23.1796875" customWidth="1"/>
    <col min="3835" max="3835" width="19.6328125" bestFit="1" customWidth="1"/>
    <col min="3836" max="3836" width="16.453125" bestFit="1" customWidth="1"/>
    <col min="3837" max="3837" width="13.54296875" customWidth="1"/>
    <col min="3838" max="3839" width="16.81640625" customWidth="1"/>
    <col min="3840" max="3840" width="12.453125" customWidth="1"/>
    <col min="3841" max="3841" width="8.81640625" customWidth="1"/>
    <col min="3842" max="3842" width="11.08984375" bestFit="1" customWidth="1"/>
    <col min="3843" max="3843" width="10.1796875" bestFit="1" customWidth="1"/>
    <col min="3844" max="3847" width="8.81640625" bestFit="1" customWidth="1"/>
    <col min="3849" max="3849" width="8.81640625" bestFit="1" customWidth="1"/>
    <col min="4088" max="4088" width="19.1796875" customWidth="1"/>
    <col min="4089" max="4089" width="47.453125" customWidth="1"/>
    <col min="4090" max="4090" width="23.1796875" customWidth="1"/>
    <col min="4091" max="4091" width="19.6328125" bestFit="1" customWidth="1"/>
    <col min="4092" max="4092" width="16.453125" bestFit="1" customWidth="1"/>
    <col min="4093" max="4093" width="13.54296875" customWidth="1"/>
    <col min="4094" max="4095" width="16.81640625" customWidth="1"/>
    <col min="4096" max="4096" width="12.453125" customWidth="1"/>
    <col min="4097" max="4097" width="8.81640625" customWidth="1"/>
    <col min="4098" max="4098" width="11.08984375" bestFit="1" customWidth="1"/>
    <col min="4099" max="4099" width="10.1796875" bestFit="1" customWidth="1"/>
    <col min="4100" max="4103" width="8.81640625" bestFit="1" customWidth="1"/>
    <col min="4105" max="4105" width="8.81640625" bestFit="1" customWidth="1"/>
    <col min="4344" max="4344" width="19.1796875" customWidth="1"/>
    <col min="4345" max="4345" width="47.453125" customWidth="1"/>
    <col min="4346" max="4346" width="23.1796875" customWidth="1"/>
    <col min="4347" max="4347" width="19.6328125" bestFit="1" customWidth="1"/>
    <col min="4348" max="4348" width="16.453125" bestFit="1" customWidth="1"/>
    <col min="4349" max="4349" width="13.54296875" customWidth="1"/>
    <col min="4350" max="4351" width="16.81640625" customWidth="1"/>
    <col min="4352" max="4352" width="12.453125" customWidth="1"/>
    <col min="4353" max="4353" width="8.81640625" customWidth="1"/>
    <col min="4354" max="4354" width="11.08984375" bestFit="1" customWidth="1"/>
    <col min="4355" max="4355" width="10.1796875" bestFit="1" customWidth="1"/>
    <col min="4356" max="4359" width="8.81640625" bestFit="1" customWidth="1"/>
    <col min="4361" max="4361" width="8.81640625" bestFit="1" customWidth="1"/>
    <col min="4600" max="4600" width="19.1796875" customWidth="1"/>
    <col min="4601" max="4601" width="47.453125" customWidth="1"/>
    <col min="4602" max="4602" width="23.1796875" customWidth="1"/>
    <col min="4603" max="4603" width="19.6328125" bestFit="1" customWidth="1"/>
    <col min="4604" max="4604" width="16.453125" bestFit="1" customWidth="1"/>
    <col min="4605" max="4605" width="13.54296875" customWidth="1"/>
    <col min="4606" max="4607" width="16.81640625" customWidth="1"/>
    <col min="4608" max="4608" width="12.453125" customWidth="1"/>
    <col min="4609" max="4609" width="8.81640625" customWidth="1"/>
    <col min="4610" max="4610" width="11.08984375" bestFit="1" customWidth="1"/>
    <col min="4611" max="4611" width="10.1796875" bestFit="1" customWidth="1"/>
    <col min="4612" max="4615" width="8.81640625" bestFit="1" customWidth="1"/>
    <col min="4617" max="4617" width="8.81640625" bestFit="1" customWidth="1"/>
    <col min="4856" max="4856" width="19.1796875" customWidth="1"/>
    <col min="4857" max="4857" width="47.453125" customWidth="1"/>
    <col min="4858" max="4858" width="23.1796875" customWidth="1"/>
    <col min="4859" max="4859" width="19.6328125" bestFit="1" customWidth="1"/>
    <col min="4860" max="4860" width="16.453125" bestFit="1" customWidth="1"/>
    <col min="4861" max="4861" width="13.54296875" customWidth="1"/>
    <col min="4862" max="4863" width="16.81640625" customWidth="1"/>
    <col min="4864" max="4864" width="12.453125" customWidth="1"/>
    <col min="4865" max="4865" width="8.81640625" customWidth="1"/>
    <col min="4866" max="4866" width="11.08984375" bestFit="1" customWidth="1"/>
    <col min="4867" max="4867" width="10.1796875" bestFit="1" customWidth="1"/>
    <col min="4868" max="4871" width="8.81640625" bestFit="1" customWidth="1"/>
    <col min="4873" max="4873" width="8.81640625" bestFit="1" customWidth="1"/>
    <col min="5112" max="5112" width="19.1796875" customWidth="1"/>
    <col min="5113" max="5113" width="47.453125" customWidth="1"/>
    <col min="5114" max="5114" width="23.1796875" customWidth="1"/>
    <col min="5115" max="5115" width="19.6328125" bestFit="1" customWidth="1"/>
    <col min="5116" max="5116" width="16.453125" bestFit="1" customWidth="1"/>
    <col min="5117" max="5117" width="13.54296875" customWidth="1"/>
    <col min="5118" max="5119" width="16.81640625" customWidth="1"/>
    <col min="5120" max="5120" width="12.453125" customWidth="1"/>
    <col min="5121" max="5121" width="8.81640625" customWidth="1"/>
    <col min="5122" max="5122" width="11.08984375" bestFit="1" customWidth="1"/>
    <col min="5123" max="5123" width="10.1796875" bestFit="1" customWidth="1"/>
    <col min="5124" max="5127" width="8.81640625" bestFit="1" customWidth="1"/>
    <col min="5129" max="5129" width="8.81640625" bestFit="1" customWidth="1"/>
    <col min="5368" max="5368" width="19.1796875" customWidth="1"/>
    <col min="5369" max="5369" width="47.453125" customWidth="1"/>
    <col min="5370" max="5370" width="23.1796875" customWidth="1"/>
    <col min="5371" max="5371" width="19.6328125" bestFit="1" customWidth="1"/>
    <col min="5372" max="5372" width="16.453125" bestFit="1" customWidth="1"/>
    <col min="5373" max="5373" width="13.54296875" customWidth="1"/>
    <col min="5374" max="5375" width="16.81640625" customWidth="1"/>
    <col min="5376" max="5376" width="12.453125" customWidth="1"/>
    <col min="5377" max="5377" width="8.81640625" customWidth="1"/>
    <col min="5378" max="5378" width="11.08984375" bestFit="1" customWidth="1"/>
    <col min="5379" max="5379" width="10.1796875" bestFit="1" customWidth="1"/>
    <col min="5380" max="5383" width="8.81640625" bestFit="1" customWidth="1"/>
    <col min="5385" max="5385" width="8.81640625" bestFit="1" customWidth="1"/>
    <col min="5624" max="5624" width="19.1796875" customWidth="1"/>
    <col min="5625" max="5625" width="47.453125" customWidth="1"/>
    <col min="5626" max="5626" width="23.1796875" customWidth="1"/>
    <col min="5627" max="5627" width="19.6328125" bestFit="1" customWidth="1"/>
    <col min="5628" max="5628" width="16.453125" bestFit="1" customWidth="1"/>
    <col min="5629" max="5629" width="13.54296875" customWidth="1"/>
    <col min="5630" max="5631" width="16.81640625" customWidth="1"/>
    <col min="5632" max="5632" width="12.453125" customWidth="1"/>
    <col min="5633" max="5633" width="8.81640625" customWidth="1"/>
    <col min="5634" max="5634" width="11.08984375" bestFit="1" customWidth="1"/>
    <col min="5635" max="5635" width="10.1796875" bestFit="1" customWidth="1"/>
    <col min="5636" max="5639" width="8.81640625" bestFit="1" customWidth="1"/>
    <col min="5641" max="5641" width="8.81640625" bestFit="1" customWidth="1"/>
    <col min="5880" max="5880" width="19.1796875" customWidth="1"/>
    <col min="5881" max="5881" width="47.453125" customWidth="1"/>
    <col min="5882" max="5882" width="23.1796875" customWidth="1"/>
    <col min="5883" max="5883" width="19.6328125" bestFit="1" customWidth="1"/>
    <col min="5884" max="5884" width="16.453125" bestFit="1" customWidth="1"/>
    <col min="5885" max="5885" width="13.54296875" customWidth="1"/>
    <col min="5886" max="5887" width="16.81640625" customWidth="1"/>
    <col min="5888" max="5888" width="12.453125" customWidth="1"/>
    <col min="5889" max="5889" width="8.81640625" customWidth="1"/>
    <col min="5890" max="5890" width="11.08984375" bestFit="1" customWidth="1"/>
    <col min="5891" max="5891" width="10.1796875" bestFit="1" customWidth="1"/>
    <col min="5892" max="5895" width="8.81640625" bestFit="1" customWidth="1"/>
    <col min="5897" max="5897" width="8.81640625" bestFit="1" customWidth="1"/>
    <col min="6136" max="6136" width="19.1796875" customWidth="1"/>
    <col min="6137" max="6137" width="47.453125" customWidth="1"/>
    <col min="6138" max="6138" width="23.1796875" customWidth="1"/>
    <col min="6139" max="6139" width="19.6328125" bestFit="1" customWidth="1"/>
    <col min="6140" max="6140" width="16.453125" bestFit="1" customWidth="1"/>
    <col min="6141" max="6141" width="13.54296875" customWidth="1"/>
    <col min="6142" max="6143" width="16.81640625" customWidth="1"/>
    <col min="6144" max="6144" width="12.453125" customWidth="1"/>
    <col min="6145" max="6145" width="8.81640625" customWidth="1"/>
    <col min="6146" max="6146" width="11.08984375" bestFit="1" customWidth="1"/>
    <col min="6147" max="6147" width="10.1796875" bestFit="1" customWidth="1"/>
    <col min="6148" max="6151" width="8.81640625" bestFit="1" customWidth="1"/>
    <col min="6153" max="6153" width="8.81640625" bestFit="1" customWidth="1"/>
    <col min="6392" max="6392" width="19.1796875" customWidth="1"/>
    <col min="6393" max="6393" width="47.453125" customWidth="1"/>
    <col min="6394" max="6394" width="23.1796875" customWidth="1"/>
    <col min="6395" max="6395" width="19.6328125" bestFit="1" customWidth="1"/>
    <col min="6396" max="6396" width="16.453125" bestFit="1" customWidth="1"/>
    <col min="6397" max="6397" width="13.54296875" customWidth="1"/>
    <col min="6398" max="6399" width="16.81640625" customWidth="1"/>
    <col min="6400" max="6400" width="12.453125" customWidth="1"/>
    <col min="6401" max="6401" width="8.81640625" customWidth="1"/>
    <col min="6402" max="6402" width="11.08984375" bestFit="1" customWidth="1"/>
    <col min="6403" max="6403" width="10.1796875" bestFit="1" customWidth="1"/>
    <col min="6404" max="6407" width="8.81640625" bestFit="1" customWidth="1"/>
    <col min="6409" max="6409" width="8.81640625" bestFit="1" customWidth="1"/>
    <col min="6648" max="6648" width="19.1796875" customWidth="1"/>
    <col min="6649" max="6649" width="47.453125" customWidth="1"/>
    <col min="6650" max="6650" width="23.1796875" customWidth="1"/>
    <col min="6651" max="6651" width="19.6328125" bestFit="1" customWidth="1"/>
    <col min="6652" max="6652" width="16.453125" bestFit="1" customWidth="1"/>
    <col min="6653" max="6653" width="13.54296875" customWidth="1"/>
    <col min="6654" max="6655" width="16.81640625" customWidth="1"/>
    <col min="6656" max="6656" width="12.453125" customWidth="1"/>
    <col min="6657" max="6657" width="8.81640625" customWidth="1"/>
    <col min="6658" max="6658" width="11.08984375" bestFit="1" customWidth="1"/>
    <col min="6659" max="6659" width="10.1796875" bestFit="1" customWidth="1"/>
    <col min="6660" max="6663" width="8.81640625" bestFit="1" customWidth="1"/>
    <col min="6665" max="6665" width="8.81640625" bestFit="1" customWidth="1"/>
    <col min="6904" max="6904" width="19.1796875" customWidth="1"/>
    <col min="6905" max="6905" width="47.453125" customWidth="1"/>
    <col min="6906" max="6906" width="23.1796875" customWidth="1"/>
    <col min="6907" max="6907" width="19.6328125" bestFit="1" customWidth="1"/>
    <col min="6908" max="6908" width="16.453125" bestFit="1" customWidth="1"/>
    <col min="6909" max="6909" width="13.54296875" customWidth="1"/>
    <col min="6910" max="6911" width="16.81640625" customWidth="1"/>
    <col min="6912" max="6912" width="12.453125" customWidth="1"/>
    <col min="6913" max="6913" width="8.81640625" customWidth="1"/>
    <col min="6914" max="6914" width="11.08984375" bestFit="1" customWidth="1"/>
    <col min="6915" max="6915" width="10.1796875" bestFit="1" customWidth="1"/>
    <col min="6916" max="6919" width="8.81640625" bestFit="1" customWidth="1"/>
    <col min="6921" max="6921" width="8.81640625" bestFit="1" customWidth="1"/>
    <col min="7160" max="7160" width="19.1796875" customWidth="1"/>
    <col min="7161" max="7161" width="47.453125" customWidth="1"/>
    <col min="7162" max="7162" width="23.1796875" customWidth="1"/>
    <col min="7163" max="7163" width="19.6328125" bestFit="1" customWidth="1"/>
    <col min="7164" max="7164" width="16.453125" bestFit="1" customWidth="1"/>
    <col min="7165" max="7165" width="13.54296875" customWidth="1"/>
    <col min="7166" max="7167" width="16.81640625" customWidth="1"/>
    <col min="7168" max="7168" width="12.453125" customWidth="1"/>
    <col min="7169" max="7169" width="8.81640625" customWidth="1"/>
    <col min="7170" max="7170" width="11.08984375" bestFit="1" customWidth="1"/>
    <col min="7171" max="7171" width="10.1796875" bestFit="1" customWidth="1"/>
    <col min="7172" max="7175" width="8.81640625" bestFit="1" customWidth="1"/>
    <col min="7177" max="7177" width="8.81640625" bestFit="1" customWidth="1"/>
    <col min="7416" max="7416" width="19.1796875" customWidth="1"/>
    <col min="7417" max="7417" width="47.453125" customWidth="1"/>
    <col min="7418" max="7418" width="23.1796875" customWidth="1"/>
    <col min="7419" max="7419" width="19.6328125" bestFit="1" customWidth="1"/>
    <col min="7420" max="7420" width="16.453125" bestFit="1" customWidth="1"/>
    <col min="7421" max="7421" width="13.54296875" customWidth="1"/>
    <col min="7422" max="7423" width="16.81640625" customWidth="1"/>
    <col min="7424" max="7424" width="12.453125" customWidth="1"/>
    <col min="7425" max="7425" width="8.81640625" customWidth="1"/>
    <col min="7426" max="7426" width="11.08984375" bestFit="1" customWidth="1"/>
    <col min="7427" max="7427" width="10.1796875" bestFit="1" customWidth="1"/>
    <col min="7428" max="7431" width="8.81640625" bestFit="1" customWidth="1"/>
    <col min="7433" max="7433" width="8.81640625" bestFit="1" customWidth="1"/>
    <col min="7672" max="7672" width="19.1796875" customWidth="1"/>
    <col min="7673" max="7673" width="47.453125" customWidth="1"/>
    <col min="7674" max="7674" width="23.1796875" customWidth="1"/>
    <col min="7675" max="7675" width="19.6328125" bestFit="1" customWidth="1"/>
    <col min="7676" max="7676" width="16.453125" bestFit="1" customWidth="1"/>
    <col min="7677" max="7677" width="13.54296875" customWidth="1"/>
    <col min="7678" max="7679" width="16.81640625" customWidth="1"/>
    <col min="7680" max="7680" width="12.453125" customWidth="1"/>
    <col min="7681" max="7681" width="8.81640625" customWidth="1"/>
    <col min="7682" max="7682" width="11.08984375" bestFit="1" customWidth="1"/>
    <col min="7683" max="7683" width="10.1796875" bestFit="1" customWidth="1"/>
    <col min="7684" max="7687" width="8.81640625" bestFit="1" customWidth="1"/>
    <col min="7689" max="7689" width="8.81640625" bestFit="1" customWidth="1"/>
    <col min="7928" max="7928" width="19.1796875" customWidth="1"/>
    <col min="7929" max="7929" width="47.453125" customWidth="1"/>
    <col min="7930" max="7930" width="23.1796875" customWidth="1"/>
    <col min="7931" max="7931" width="19.6328125" bestFit="1" customWidth="1"/>
    <col min="7932" max="7932" width="16.453125" bestFit="1" customWidth="1"/>
    <col min="7933" max="7933" width="13.54296875" customWidth="1"/>
    <col min="7934" max="7935" width="16.81640625" customWidth="1"/>
    <col min="7936" max="7936" width="12.453125" customWidth="1"/>
    <col min="7937" max="7937" width="8.81640625" customWidth="1"/>
    <col min="7938" max="7938" width="11.08984375" bestFit="1" customWidth="1"/>
    <col min="7939" max="7939" width="10.1796875" bestFit="1" customWidth="1"/>
    <col min="7940" max="7943" width="8.81640625" bestFit="1" customWidth="1"/>
    <col min="7945" max="7945" width="8.81640625" bestFit="1" customWidth="1"/>
    <col min="8184" max="8184" width="19.1796875" customWidth="1"/>
    <col min="8185" max="8185" width="47.453125" customWidth="1"/>
    <col min="8186" max="8186" width="23.1796875" customWidth="1"/>
    <col min="8187" max="8187" width="19.6328125" bestFit="1" customWidth="1"/>
    <col min="8188" max="8188" width="16.453125" bestFit="1" customWidth="1"/>
    <col min="8189" max="8189" width="13.54296875" customWidth="1"/>
    <col min="8190" max="8191" width="16.81640625" customWidth="1"/>
    <col min="8192" max="8192" width="12.453125" customWidth="1"/>
    <col min="8193" max="8193" width="8.81640625" customWidth="1"/>
    <col min="8194" max="8194" width="11.08984375" bestFit="1" customWidth="1"/>
    <col min="8195" max="8195" width="10.1796875" bestFit="1" customWidth="1"/>
    <col min="8196" max="8199" width="8.81640625" bestFit="1" customWidth="1"/>
    <col min="8201" max="8201" width="8.81640625" bestFit="1" customWidth="1"/>
    <col min="8440" max="8440" width="19.1796875" customWidth="1"/>
    <col min="8441" max="8441" width="47.453125" customWidth="1"/>
    <col min="8442" max="8442" width="23.1796875" customWidth="1"/>
    <col min="8443" max="8443" width="19.6328125" bestFit="1" customWidth="1"/>
    <col min="8444" max="8444" width="16.453125" bestFit="1" customWidth="1"/>
    <col min="8445" max="8445" width="13.54296875" customWidth="1"/>
    <col min="8446" max="8447" width="16.81640625" customWidth="1"/>
    <col min="8448" max="8448" width="12.453125" customWidth="1"/>
    <col min="8449" max="8449" width="8.81640625" customWidth="1"/>
    <col min="8450" max="8450" width="11.08984375" bestFit="1" customWidth="1"/>
    <col min="8451" max="8451" width="10.1796875" bestFit="1" customWidth="1"/>
    <col min="8452" max="8455" width="8.81640625" bestFit="1" customWidth="1"/>
    <col min="8457" max="8457" width="8.81640625" bestFit="1" customWidth="1"/>
    <col min="8696" max="8696" width="19.1796875" customWidth="1"/>
    <col min="8697" max="8697" width="47.453125" customWidth="1"/>
    <col min="8698" max="8698" width="23.1796875" customWidth="1"/>
    <col min="8699" max="8699" width="19.6328125" bestFit="1" customWidth="1"/>
    <col min="8700" max="8700" width="16.453125" bestFit="1" customWidth="1"/>
    <col min="8701" max="8701" width="13.54296875" customWidth="1"/>
    <col min="8702" max="8703" width="16.81640625" customWidth="1"/>
    <col min="8704" max="8704" width="12.453125" customWidth="1"/>
    <col min="8705" max="8705" width="8.81640625" customWidth="1"/>
    <col min="8706" max="8706" width="11.08984375" bestFit="1" customWidth="1"/>
    <col min="8707" max="8707" width="10.1796875" bestFit="1" customWidth="1"/>
    <col min="8708" max="8711" width="8.81640625" bestFit="1" customWidth="1"/>
    <col min="8713" max="8713" width="8.81640625" bestFit="1" customWidth="1"/>
    <col min="8952" max="8952" width="19.1796875" customWidth="1"/>
    <col min="8953" max="8953" width="47.453125" customWidth="1"/>
    <col min="8954" max="8954" width="23.1796875" customWidth="1"/>
    <col min="8955" max="8955" width="19.6328125" bestFit="1" customWidth="1"/>
    <col min="8956" max="8956" width="16.453125" bestFit="1" customWidth="1"/>
    <col min="8957" max="8957" width="13.54296875" customWidth="1"/>
    <col min="8958" max="8959" width="16.81640625" customWidth="1"/>
    <col min="8960" max="8960" width="12.453125" customWidth="1"/>
    <col min="8961" max="8961" width="8.81640625" customWidth="1"/>
    <col min="8962" max="8962" width="11.08984375" bestFit="1" customWidth="1"/>
    <col min="8963" max="8963" width="10.1796875" bestFit="1" customWidth="1"/>
    <col min="8964" max="8967" width="8.81640625" bestFit="1" customWidth="1"/>
    <col min="8969" max="8969" width="8.81640625" bestFit="1" customWidth="1"/>
    <col min="9208" max="9208" width="19.1796875" customWidth="1"/>
    <col min="9209" max="9209" width="47.453125" customWidth="1"/>
    <col min="9210" max="9210" width="23.1796875" customWidth="1"/>
    <col min="9211" max="9211" width="19.6328125" bestFit="1" customWidth="1"/>
    <col min="9212" max="9212" width="16.453125" bestFit="1" customWidth="1"/>
    <col min="9213" max="9213" width="13.54296875" customWidth="1"/>
    <col min="9214" max="9215" width="16.81640625" customWidth="1"/>
    <col min="9216" max="9216" width="12.453125" customWidth="1"/>
    <col min="9217" max="9217" width="8.81640625" customWidth="1"/>
    <col min="9218" max="9218" width="11.08984375" bestFit="1" customWidth="1"/>
    <col min="9219" max="9219" width="10.1796875" bestFit="1" customWidth="1"/>
    <col min="9220" max="9223" width="8.81640625" bestFit="1" customWidth="1"/>
    <col min="9225" max="9225" width="8.81640625" bestFit="1" customWidth="1"/>
    <col min="9464" max="9464" width="19.1796875" customWidth="1"/>
    <col min="9465" max="9465" width="47.453125" customWidth="1"/>
    <col min="9466" max="9466" width="23.1796875" customWidth="1"/>
    <col min="9467" max="9467" width="19.6328125" bestFit="1" customWidth="1"/>
    <col min="9468" max="9468" width="16.453125" bestFit="1" customWidth="1"/>
    <col min="9469" max="9469" width="13.54296875" customWidth="1"/>
    <col min="9470" max="9471" width="16.81640625" customWidth="1"/>
    <col min="9472" max="9472" width="12.453125" customWidth="1"/>
    <col min="9473" max="9473" width="8.81640625" customWidth="1"/>
    <col min="9474" max="9474" width="11.08984375" bestFit="1" customWidth="1"/>
    <col min="9475" max="9475" width="10.1796875" bestFit="1" customWidth="1"/>
    <col min="9476" max="9479" width="8.81640625" bestFit="1" customWidth="1"/>
    <col min="9481" max="9481" width="8.81640625" bestFit="1" customWidth="1"/>
    <col min="9720" max="9720" width="19.1796875" customWidth="1"/>
    <col min="9721" max="9721" width="47.453125" customWidth="1"/>
    <col min="9722" max="9722" width="23.1796875" customWidth="1"/>
    <col min="9723" max="9723" width="19.6328125" bestFit="1" customWidth="1"/>
    <col min="9724" max="9724" width="16.453125" bestFit="1" customWidth="1"/>
    <col min="9725" max="9725" width="13.54296875" customWidth="1"/>
    <col min="9726" max="9727" width="16.81640625" customWidth="1"/>
    <col min="9728" max="9728" width="12.453125" customWidth="1"/>
    <col min="9729" max="9729" width="8.81640625" customWidth="1"/>
    <col min="9730" max="9730" width="11.08984375" bestFit="1" customWidth="1"/>
    <col min="9731" max="9731" width="10.1796875" bestFit="1" customWidth="1"/>
    <col min="9732" max="9735" width="8.81640625" bestFit="1" customWidth="1"/>
    <col min="9737" max="9737" width="8.81640625" bestFit="1" customWidth="1"/>
    <col min="9976" max="9976" width="19.1796875" customWidth="1"/>
    <col min="9977" max="9977" width="47.453125" customWidth="1"/>
    <col min="9978" max="9978" width="23.1796875" customWidth="1"/>
    <col min="9979" max="9979" width="19.6328125" bestFit="1" customWidth="1"/>
    <col min="9980" max="9980" width="16.453125" bestFit="1" customWidth="1"/>
    <col min="9981" max="9981" width="13.54296875" customWidth="1"/>
    <col min="9982" max="9983" width="16.81640625" customWidth="1"/>
    <col min="9984" max="9984" width="12.453125" customWidth="1"/>
    <col min="9985" max="9985" width="8.81640625" customWidth="1"/>
    <col min="9986" max="9986" width="11.08984375" bestFit="1" customWidth="1"/>
    <col min="9987" max="9987" width="10.1796875" bestFit="1" customWidth="1"/>
    <col min="9988" max="9991" width="8.81640625" bestFit="1" customWidth="1"/>
    <col min="9993" max="9993" width="8.81640625" bestFit="1" customWidth="1"/>
    <col min="10232" max="10232" width="19.1796875" customWidth="1"/>
    <col min="10233" max="10233" width="47.453125" customWidth="1"/>
    <col min="10234" max="10234" width="23.1796875" customWidth="1"/>
    <col min="10235" max="10235" width="19.6328125" bestFit="1" customWidth="1"/>
    <col min="10236" max="10236" width="16.453125" bestFit="1" customWidth="1"/>
    <col min="10237" max="10237" width="13.54296875" customWidth="1"/>
    <col min="10238" max="10239" width="16.81640625" customWidth="1"/>
    <col min="10240" max="10240" width="12.453125" customWidth="1"/>
    <col min="10241" max="10241" width="8.81640625" customWidth="1"/>
    <col min="10242" max="10242" width="11.08984375" bestFit="1" customWidth="1"/>
    <col min="10243" max="10243" width="10.1796875" bestFit="1" customWidth="1"/>
    <col min="10244" max="10247" width="8.81640625" bestFit="1" customWidth="1"/>
    <col min="10249" max="10249" width="8.81640625" bestFit="1" customWidth="1"/>
    <col min="10488" max="10488" width="19.1796875" customWidth="1"/>
    <col min="10489" max="10489" width="47.453125" customWidth="1"/>
    <col min="10490" max="10490" width="23.1796875" customWidth="1"/>
    <col min="10491" max="10491" width="19.6328125" bestFit="1" customWidth="1"/>
    <col min="10492" max="10492" width="16.453125" bestFit="1" customWidth="1"/>
    <col min="10493" max="10493" width="13.54296875" customWidth="1"/>
    <col min="10494" max="10495" width="16.81640625" customWidth="1"/>
    <col min="10496" max="10496" width="12.453125" customWidth="1"/>
    <col min="10497" max="10497" width="8.81640625" customWidth="1"/>
    <col min="10498" max="10498" width="11.08984375" bestFit="1" customWidth="1"/>
    <col min="10499" max="10499" width="10.1796875" bestFit="1" customWidth="1"/>
    <col min="10500" max="10503" width="8.81640625" bestFit="1" customWidth="1"/>
    <col min="10505" max="10505" width="8.81640625" bestFit="1" customWidth="1"/>
    <col min="10744" max="10744" width="19.1796875" customWidth="1"/>
    <col min="10745" max="10745" width="47.453125" customWidth="1"/>
    <col min="10746" max="10746" width="23.1796875" customWidth="1"/>
    <col min="10747" max="10747" width="19.6328125" bestFit="1" customWidth="1"/>
    <col min="10748" max="10748" width="16.453125" bestFit="1" customWidth="1"/>
    <col min="10749" max="10749" width="13.54296875" customWidth="1"/>
    <col min="10750" max="10751" width="16.81640625" customWidth="1"/>
    <col min="10752" max="10752" width="12.453125" customWidth="1"/>
    <col min="10753" max="10753" width="8.81640625" customWidth="1"/>
    <col min="10754" max="10754" width="11.08984375" bestFit="1" customWidth="1"/>
    <col min="10755" max="10755" width="10.1796875" bestFit="1" customWidth="1"/>
    <col min="10756" max="10759" width="8.81640625" bestFit="1" customWidth="1"/>
    <col min="10761" max="10761" width="8.81640625" bestFit="1" customWidth="1"/>
    <col min="11000" max="11000" width="19.1796875" customWidth="1"/>
    <col min="11001" max="11001" width="47.453125" customWidth="1"/>
    <col min="11002" max="11002" width="23.1796875" customWidth="1"/>
    <col min="11003" max="11003" width="19.6328125" bestFit="1" customWidth="1"/>
    <col min="11004" max="11004" width="16.453125" bestFit="1" customWidth="1"/>
    <col min="11005" max="11005" width="13.54296875" customWidth="1"/>
    <col min="11006" max="11007" width="16.81640625" customWidth="1"/>
    <col min="11008" max="11008" width="12.453125" customWidth="1"/>
    <col min="11009" max="11009" width="8.81640625" customWidth="1"/>
    <col min="11010" max="11010" width="11.08984375" bestFit="1" customWidth="1"/>
    <col min="11011" max="11011" width="10.1796875" bestFit="1" customWidth="1"/>
    <col min="11012" max="11015" width="8.81640625" bestFit="1" customWidth="1"/>
    <col min="11017" max="11017" width="8.81640625" bestFit="1" customWidth="1"/>
    <col min="11256" max="11256" width="19.1796875" customWidth="1"/>
    <col min="11257" max="11257" width="47.453125" customWidth="1"/>
    <col min="11258" max="11258" width="23.1796875" customWidth="1"/>
    <col min="11259" max="11259" width="19.6328125" bestFit="1" customWidth="1"/>
    <col min="11260" max="11260" width="16.453125" bestFit="1" customWidth="1"/>
    <col min="11261" max="11261" width="13.54296875" customWidth="1"/>
    <col min="11262" max="11263" width="16.81640625" customWidth="1"/>
    <col min="11264" max="11264" width="12.453125" customWidth="1"/>
    <col min="11265" max="11265" width="8.81640625" customWidth="1"/>
    <col min="11266" max="11266" width="11.08984375" bestFit="1" customWidth="1"/>
    <col min="11267" max="11267" width="10.1796875" bestFit="1" customWidth="1"/>
    <col min="11268" max="11271" width="8.81640625" bestFit="1" customWidth="1"/>
    <col min="11273" max="11273" width="8.81640625" bestFit="1" customWidth="1"/>
    <col min="11512" max="11512" width="19.1796875" customWidth="1"/>
    <col min="11513" max="11513" width="47.453125" customWidth="1"/>
    <col min="11514" max="11514" width="23.1796875" customWidth="1"/>
    <col min="11515" max="11515" width="19.6328125" bestFit="1" customWidth="1"/>
    <col min="11516" max="11516" width="16.453125" bestFit="1" customWidth="1"/>
    <col min="11517" max="11517" width="13.54296875" customWidth="1"/>
    <col min="11518" max="11519" width="16.81640625" customWidth="1"/>
    <col min="11520" max="11520" width="12.453125" customWidth="1"/>
    <col min="11521" max="11521" width="8.81640625" customWidth="1"/>
    <col min="11522" max="11522" width="11.08984375" bestFit="1" customWidth="1"/>
    <col min="11523" max="11523" width="10.1796875" bestFit="1" customWidth="1"/>
    <col min="11524" max="11527" width="8.81640625" bestFit="1" customWidth="1"/>
    <col min="11529" max="11529" width="8.81640625" bestFit="1" customWidth="1"/>
    <col min="11768" max="11768" width="19.1796875" customWidth="1"/>
    <col min="11769" max="11769" width="47.453125" customWidth="1"/>
    <col min="11770" max="11770" width="23.1796875" customWidth="1"/>
    <col min="11771" max="11771" width="19.6328125" bestFit="1" customWidth="1"/>
    <col min="11772" max="11772" width="16.453125" bestFit="1" customWidth="1"/>
    <col min="11773" max="11773" width="13.54296875" customWidth="1"/>
    <col min="11774" max="11775" width="16.81640625" customWidth="1"/>
    <col min="11776" max="11776" width="12.453125" customWidth="1"/>
    <col min="11777" max="11777" width="8.81640625" customWidth="1"/>
    <col min="11778" max="11778" width="11.08984375" bestFit="1" customWidth="1"/>
    <col min="11779" max="11779" width="10.1796875" bestFit="1" customWidth="1"/>
    <col min="11780" max="11783" width="8.81640625" bestFit="1" customWidth="1"/>
    <col min="11785" max="11785" width="8.81640625" bestFit="1" customWidth="1"/>
    <col min="12024" max="12024" width="19.1796875" customWidth="1"/>
    <col min="12025" max="12025" width="47.453125" customWidth="1"/>
    <col min="12026" max="12026" width="23.1796875" customWidth="1"/>
    <col min="12027" max="12027" width="19.6328125" bestFit="1" customWidth="1"/>
    <col min="12028" max="12028" width="16.453125" bestFit="1" customWidth="1"/>
    <col min="12029" max="12029" width="13.54296875" customWidth="1"/>
    <col min="12030" max="12031" width="16.81640625" customWidth="1"/>
    <col min="12032" max="12032" width="12.453125" customWidth="1"/>
    <col min="12033" max="12033" width="8.81640625" customWidth="1"/>
    <col min="12034" max="12034" width="11.08984375" bestFit="1" customWidth="1"/>
    <col min="12035" max="12035" width="10.1796875" bestFit="1" customWidth="1"/>
    <col min="12036" max="12039" width="8.81640625" bestFit="1" customWidth="1"/>
    <col min="12041" max="12041" width="8.81640625" bestFit="1" customWidth="1"/>
    <col min="12280" max="12280" width="19.1796875" customWidth="1"/>
    <col min="12281" max="12281" width="47.453125" customWidth="1"/>
    <col min="12282" max="12282" width="23.1796875" customWidth="1"/>
    <col min="12283" max="12283" width="19.6328125" bestFit="1" customWidth="1"/>
    <col min="12284" max="12284" width="16.453125" bestFit="1" customWidth="1"/>
    <col min="12285" max="12285" width="13.54296875" customWidth="1"/>
    <col min="12286" max="12287" width="16.81640625" customWidth="1"/>
    <col min="12288" max="12288" width="12.453125" customWidth="1"/>
    <col min="12289" max="12289" width="8.81640625" customWidth="1"/>
    <col min="12290" max="12290" width="11.08984375" bestFit="1" customWidth="1"/>
    <col min="12291" max="12291" width="10.1796875" bestFit="1" customWidth="1"/>
    <col min="12292" max="12295" width="8.81640625" bestFit="1" customWidth="1"/>
    <col min="12297" max="12297" width="8.81640625" bestFit="1" customWidth="1"/>
    <col min="12536" max="12536" width="19.1796875" customWidth="1"/>
    <col min="12537" max="12537" width="47.453125" customWidth="1"/>
    <col min="12538" max="12538" width="23.1796875" customWidth="1"/>
    <col min="12539" max="12539" width="19.6328125" bestFit="1" customWidth="1"/>
    <col min="12540" max="12540" width="16.453125" bestFit="1" customWidth="1"/>
    <col min="12541" max="12541" width="13.54296875" customWidth="1"/>
    <col min="12542" max="12543" width="16.81640625" customWidth="1"/>
    <col min="12544" max="12544" width="12.453125" customWidth="1"/>
    <col min="12545" max="12545" width="8.81640625" customWidth="1"/>
    <col min="12546" max="12546" width="11.08984375" bestFit="1" customWidth="1"/>
    <col min="12547" max="12547" width="10.1796875" bestFit="1" customWidth="1"/>
    <col min="12548" max="12551" width="8.81640625" bestFit="1" customWidth="1"/>
    <col min="12553" max="12553" width="8.81640625" bestFit="1" customWidth="1"/>
    <col min="12792" max="12792" width="19.1796875" customWidth="1"/>
    <col min="12793" max="12793" width="47.453125" customWidth="1"/>
    <col min="12794" max="12794" width="23.1796875" customWidth="1"/>
    <col min="12795" max="12795" width="19.6328125" bestFit="1" customWidth="1"/>
    <col min="12796" max="12796" width="16.453125" bestFit="1" customWidth="1"/>
    <col min="12797" max="12797" width="13.54296875" customWidth="1"/>
    <col min="12798" max="12799" width="16.81640625" customWidth="1"/>
    <col min="12800" max="12800" width="12.453125" customWidth="1"/>
    <col min="12801" max="12801" width="8.81640625" customWidth="1"/>
    <col min="12802" max="12802" width="11.08984375" bestFit="1" customWidth="1"/>
    <col min="12803" max="12803" width="10.1796875" bestFit="1" customWidth="1"/>
    <col min="12804" max="12807" width="8.81640625" bestFit="1" customWidth="1"/>
    <col min="12809" max="12809" width="8.81640625" bestFit="1" customWidth="1"/>
    <col min="13048" max="13048" width="19.1796875" customWidth="1"/>
    <col min="13049" max="13049" width="47.453125" customWidth="1"/>
    <col min="13050" max="13050" width="23.1796875" customWidth="1"/>
    <col min="13051" max="13051" width="19.6328125" bestFit="1" customWidth="1"/>
    <col min="13052" max="13052" width="16.453125" bestFit="1" customWidth="1"/>
    <col min="13053" max="13053" width="13.54296875" customWidth="1"/>
    <col min="13054" max="13055" width="16.81640625" customWidth="1"/>
    <col min="13056" max="13056" width="12.453125" customWidth="1"/>
    <col min="13057" max="13057" width="8.81640625" customWidth="1"/>
    <col min="13058" max="13058" width="11.08984375" bestFit="1" customWidth="1"/>
    <col min="13059" max="13059" width="10.1796875" bestFit="1" customWidth="1"/>
    <col min="13060" max="13063" width="8.81640625" bestFit="1" customWidth="1"/>
    <col min="13065" max="13065" width="8.81640625" bestFit="1" customWidth="1"/>
    <col min="13304" max="13304" width="19.1796875" customWidth="1"/>
    <col min="13305" max="13305" width="47.453125" customWidth="1"/>
    <col min="13306" max="13306" width="23.1796875" customWidth="1"/>
    <col min="13307" max="13307" width="19.6328125" bestFit="1" customWidth="1"/>
    <col min="13308" max="13308" width="16.453125" bestFit="1" customWidth="1"/>
    <col min="13309" max="13309" width="13.54296875" customWidth="1"/>
    <col min="13310" max="13311" width="16.81640625" customWidth="1"/>
    <col min="13312" max="13312" width="12.453125" customWidth="1"/>
    <col min="13313" max="13313" width="8.81640625" customWidth="1"/>
    <col min="13314" max="13314" width="11.08984375" bestFit="1" customWidth="1"/>
    <col min="13315" max="13315" width="10.1796875" bestFit="1" customWidth="1"/>
    <col min="13316" max="13319" width="8.81640625" bestFit="1" customWidth="1"/>
    <col min="13321" max="13321" width="8.81640625" bestFit="1" customWidth="1"/>
    <col min="13560" max="13560" width="19.1796875" customWidth="1"/>
    <col min="13561" max="13561" width="47.453125" customWidth="1"/>
    <col min="13562" max="13562" width="23.1796875" customWidth="1"/>
    <col min="13563" max="13563" width="19.6328125" bestFit="1" customWidth="1"/>
    <col min="13564" max="13564" width="16.453125" bestFit="1" customWidth="1"/>
    <col min="13565" max="13565" width="13.54296875" customWidth="1"/>
    <col min="13566" max="13567" width="16.81640625" customWidth="1"/>
    <col min="13568" max="13568" width="12.453125" customWidth="1"/>
    <col min="13569" max="13569" width="8.81640625" customWidth="1"/>
    <col min="13570" max="13570" width="11.08984375" bestFit="1" customWidth="1"/>
    <col min="13571" max="13571" width="10.1796875" bestFit="1" customWidth="1"/>
    <col min="13572" max="13575" width="8.81640625" bestFit="1" customWidth="1"/>
    <col min="13577" max="13577" width="8.81640625" bestFit="1" customWidth="1"/>
    <col min="13816" max="13816" width="19.1796875" customWidth="1"/>
    <col min="13817" max="13817" width="47.453125" customWidth="1"/>
    <col min="13818" max="13818" width="23.1796875" customWidth="1"/>
    <col min="13819" max="13819" width="19.6328125" bestFit="1" customWidth="1"/>
    <col min="13820" max="13820" width="16.453125" bestFit="1" customWidth="1"/>
    <col min="13821" max="13821" width="13.54296875" customWidth="1"/>
    <col min="13822" max="13823" width="16.81640625" customWidth="1"/>
    <col min="13824" max="13824" width="12.453125" customWidth="1"/>
    <col min="13825" max="13825" width="8.81640625" customWidth="1"/>
    <col min="13826" max="13826" width="11.08984375" bestFit="1" customWidth="1"/>
    <col min="13827" max="13827" width="10.1796875" bestFit="1" customWidth="1"/>
    <col min="13828" max="13831" width="8.81640625" bestFit="1" customWidth="1"/>
    <col min="13833" max="13833" width="8.81640625" bestFit="1" customWidth="1"/>
    <col min="14072" max="14072" width="19.1796875" customWidth="1"/>
    <col min="14073" max="14073" width="47.453125" customWidth="1"/>
    <col min="14074" max="14074" width="23.1796875" customWidth="1"/>
    <col min="14075" max="14075" width="19.6328125" bestFit="1" customWidth="1"/>
    <col min="14076" max="14076" width="16.453125" bestFit="1" customWidth="1"/>
    <col min="14077" max="14077" width="13.54296875" customWidth="1"/>
    <col min="14078" max="14079" width="16.81640625" customWidth="1"/>
    <col min="14080" max="14080" width="12.453125" customWidth="1"/>
    <col min="14081" max="14081" width="8.81640625" customWidth="1"/>
    <col min="14082" max="14082" width="11.08984375" bestFit="1" customWidth="1"/>
    <col min="14083" max="14083" width="10.1796875" bestFit="1" customWidth="1"/>
    <col min="14084" max="14087" width="8.81640625" bestFit="1" customWidth="1"/>
    <col min="14089" max="14089" width="8.81640625" bestFit="1" customWidth="1"/>
    <col min="14328" max="14328" width="19.1796875" customWidth="1"/>
    <col min="14329" max="14329" width="47.453125" customWidth="1"/>
    <col min="14330" max="14330" width="23.1796875" customWidth="1"/>
    <col min="14331" max="14331" width="19.6328125" bestFit="1" customWidth="1"/>
    <col min="14332" max="14332" width="16.453125" bestFit="1" customWidth="1"/>
    <col min="14333" max="14333" width="13.54296875" customWidth="1"/>
    <col min="14334" max="14335" width="16.81640625" customWidth="1"/>
    <col min="14336" max="14336" width="12.453125" customWidth="1"/>
    <col min="14337" max="14337" width="8.81640625" customWidth="1"/>
    <col min="14338" max="14338" width="11.08984375" bestFit="1" customWidth="1"/>
    <col min="14339" max="14339" width="10.1796875" bestFit="1" customWidth="1"/>
    <col min="14340" max="14343" width="8.81640625" bestFit="1" customWidth="1"/>
    <col min="14345" max="14345" width="8.81640625" bestFit="1" customWidth="1"/>
    <col min="14584" max="14584" width="19.1796875" customWidth="1"/>
    <col min="14585" max="14585" width="47.453125" customWidth="1"/>
    <col min="14586" max="14586" width="23.1796875" customWidth="1"/>
    <col min="14587" max="14587" width="19.6328125" bestFit="1" customWidth="1"/>
    <col min="14588" max="14588" width="16.453125" bestFit="1" customWidth="1"/>
    <col min="14589" max="14589" width="13.54296875" customWidth="1"/>
    <col min="14590" max="14591" width="16.81640625" customWidth="1"/>
    <col min="14592" max="14592" width="12.453125" customWidth="1"/>
    <col min="14593" max="14593" width="8.81640625" customWidth="1"/>
    <col min="14594" max="14594" width="11.08984375" bestFit="1" customWidth="1"/>
    <col min="14595" max="14595" width="10.1796875" bestFit="1" customWidth="1"/>
    <col min="14596" max="14599" width="8.81640625" bestFit="1" customWidth="1"/>
    <col min="14601" max="14601" width="8.81640625" bestFit="1" customWidth="1"/>
    <col min="14840" max="14840" width="19.1796875" customWidth="1"/>
    <col min="14841" max="14841" width="47.453125" customWidth="1"/>
    <col min="14842" max="14842" width="23.1796875" customWidth="1"/>
    <col min="14843" max="14843" width="19.6328125" bestFit="1" customWidth="1"/>
    <col min="14844" max="14844" width="16.453125" bestFit="1" customWidth="1"/>
    <col min="14845" max="14845" width="13.54296875" customWidth="1"/>
    <col min="14846" max="14847" width="16.81640625" customWidth="1"/>
    <col min="14848" max="14848" width="12.453125" customWidth="1"/>
    <col min="14849" max="14849" width="8.81640625" customWidth="1"/>
    <col min="14850" max="14850" width="11.08984375" bestFit="1" customWidth="1"/>
    <col min="14851" max="14851" width="10.1796875" bestFit="1" customWidth="1"/>
    <col min="14852" max="14855" width="8.81640625" bestFit="1" customWidth="1"/>
    <col min="14857" max="14857" width="8.81640625" bestFit="1" customWidth="1"/>
    <col min="15096" max="15096" width="19.1796875" customWidth="1"/>
    <col min="15097" max="15097" width="47.453125" customWidth="1"/>
    <col min="15098" max="15098" width="23.1796875" customWidth="1"/>
    <col min="15099" max="15099" width="19.6328125" bestFit="1" customWidth="1"/>
    <col min="15100" max="15100" width="16.453125" bestFit="1" customWidth="1"/>
    <col min="15101" max="15101" width="13.54296875" customWidth="1"/>
    <col min="15102" max="15103" width="16.81640625" customWidth="1"/>
    <col min="15104" max="15104" width="12.453125" customWidth="1"/>
    <col min="15105" max="15105" width="8.81640625" customWidth="1"/>
    <col min="15106" max="15106" width="11.08984375" bestFit="1" customWidth="1"/>
    <col min="15107" max="15107" width="10.1796875" bestFit="1" customWidth="1"/>
    <col min="15108" max="15111" width="8.81640625" bestFit="1" customWidth="1"/>
    <col min="15113" max="15113" width="8.81640625" bestFit="1" customWidth="1"/>
    <col min="15352" max="15352" width="19.1796875" customWidth="1"/>
    <col min="15353" max="15353" width="47.453125" customWidth="1"/>
    <col min="15354" max="15354" width="23.1796875" customWidth="1"/>
    <col min="15355" max="15355" width="19.6328125" bestFit="1" customWidth="1"/>
    <col min="15356" max="15356" width="16.453125" bestFit="1" customWidth="1"/>
    <col min="15357" max="15357" width="13.54296875" customWidth="1"/>
    <col min="15358" max="15359" width="16.81640625" customWidth="1"/>
    <col min="15360" max="15360" width="12.453125" customWidth="1"/>
    <col min="15361" max="15361" width="8.81640625" customWidth="1"/>
    <col min="15362" max="15362" width="11.08984375" bestFit="1" customWidth="1"/>
    <col min="15363" max="15363" width="10.1796875" bestFit="1" customWidth="1"/>
    <col min="15364" max="15367" width="8.81640625" bestFit="1" customWidth="1"/>
    <col min="15369" max="15369" width="8.81640625" bestFit="1" customWidth="1"/>
    <col min="15608" max="15608" width="19.1796875" customWidth="1"/>
    <col min="15609" max="15609" width="47.453125" customWidth="1"/>
    <col min="15610" max="15610" width="23.1796875" customWidth="1"/>
    <col min="15611" max="15611" width="19.6328125" bestFit="1" customWidth="1"/>
    <col min="15612" max="15612" width="16.453125" bestFit="1" customWidth="1"/>
    <col min="15613" max="15613" width="13.54296875" customWidth="1"/>
    <col min="15614" max="15615" width="16.81640625" customWidth="1"/>
    <col min="15616" max="15616" width="12.453125" customWidth="1"/>
    <col min="15617" max="15617" width="8.81640625" customWidth="1"/>
    <col min="15618" max="15618" width="11.08984375" bestFit="1" customWidth="1"/>
    <col min="15619" max="15619" width="10.1796875" bestFit="1" customWidth="1"/>
    <col min="15620" max="15623" width="8.81640625" bestFit="1" customWidth="1"/>
    <col min="15625" max="15625" width="8.81640625" bestFit="1" customWidth="1"/>
    <col min="15864" max="15864" width="19.1796875" customWidth="1"/>
    <col min="15865" max="15865" width="47.453125" customWidth="1"/>
    <col min="15866" max="15866" width="23.1796875" customWidth="1"/>
    <col min="15867" max="15867" width="19.6328125" bestFit="1" customWidth="1"/>
    <col min="15868" max="15868" width="16.453125" bestFit="1" customWidth="1"/>
    <col min="15869" max="15869" width="13.54296875" customWidth="1"/>
    <col min="15870" max="15871" width="16.81640625" customWidth="1"/>
    <col min="15872" max="15872" width="12.453125" customWidth="1"/>
    <col min="15873" max="15873" width="8.81640625" customWidth="1"/>
    <col min="15874" max="15874" width="11.08984375" bestFit="1" customWidth="1"/>
    <col min="15875" max="15875" width="10.1796875" bestFit="1" customWidth="1"/>
    <col min="15876" max="15879" width="8.81640625" bestFit="1" customWidth="1"/>
    <col min="15881" max="15881" width="8.81640625" bestFit="1" customWidth="1"/>
    <col min="16120" max="16120" width="19.1796875" customWidth="1"/>
    <col min="16121" max="16121" width="47.453125" customWidth="1"/>
    <col min="16122" max="16122" width="23.1796875" customWidth="1"/>
    <col min="16123" max="16123" width="19.6328125" bestFit="1" customWidth="1"/>
    <col min="16124" max="16124" width="16.453125" bestFit="1" customWidth="1"/>
    <col min="16125" max="16125" width="13.54296875" customWidth="1"/>
    <col min="16126" max="16127" width="16.81640625" customWidth="1"/>
    <col min="16128" max="16128" width="12.453125" customWidth="1"/>
    <col min="16129" max="16129" width="8.81640625" customWidth="1"/>
    <col min="16130" max="16130" width="11.08984375" bestFit="1" customWidth="1"/>
    <col min="16131" max="16131" width="10.1796875" bestFit="1" customWidth="1"/>
    <col min="16132" max="16135" width="8.81640625" bestFit="1" customWidth="1"/>
    <col min="16137" max="16137" width="8.81640625" bestFit="1" customWidth="1"/>
  </cols>
  <sheetData>
    <row r="1" spans="1:10" x14ac:dyDescent="0.35">
      <c r="A1" s="108"/>
      <c r="B1" s="108"/>
      <c r="C1" s="108"/>
      <c r="D1" s="108"/>
      <c r="E1" s="108"/>
      <c r="F1" s="108"/>
      <c r="G1" s="108"/>
      <c r="H1" s="108"/>
      <c r="I1" s="108"/>
    </row>
    <row r="2" spans="1:10" x14ac:dyDescent="0.35">
      <c r="A2" s="109" t="s">
        <v>0</v>
      </c>
      <c r="B2" s="109"/>
      <c r="C2" s="109"/>
      <c r="D2" s="109"/>
      <c r="E2" s="109"/>
      <c r="F2" s="109"/>
      <c r="G2" s="109"/>
      <c r="H2" s="109"/>
      <c r="I2" s="109"/>
    </row>
    <row r="3" spans="1:10" x14ac:dyDescent="0.35">
      <c r="A3" s="110" t="s">
        <v>1</v>
      </c>
      <c r="B3" s="110"/>
      <c r="C3" s="110"/>
      <c r="D3" s="110"/>
      <c r="E3" s="110"/>
      <c r="F3" s="110"/>
      <c r="G3" s="110"/>
      <c r="H3" s="110"/>
      <c r="I3" s="110"/>
    </row>
    <row r="4" spans="1:10" ht="32.25" customHeight="1" x14ac:dyDescent="0.35">
      <c r="A4" s="1" t="s">
        <v>2</v>
      </c>
      <c r="B4" s="2" t="s">
        <v>3</v>
      </c>
      <c r="C4" s="3" t="s">
        <v>4</v>
      </c>
      <c r="D4" s="1" t="s">
        <v>5</v>
      </c>
      <c r="E4" s="4" t="s">
        <v>6</v>
      </c>
      <c r="F4" s="5" t="s">
        <v>7</v>
      </c>
      <c r="G4" s="5" t="s">
        <v>8</v>
      </c>
      <c r="H4" s="5" t="s">
        <v>9</v>
      </c>
      <c r="I4" s="1" t="s">
        <v>10</v>
      </c>
    </row>
    <row r="5" spans="1:10" x14ac:dyDescent="0.35">
      <c r="A5" s="6"/>
      <c r="B5" s="7" t="s">
        <v>11</v>
      </c>
      <c r="C5" s="6"/>
      <c r="D5" s="8"/>
      <c r="E5" s="8"/>
      <c r="F5" s="9"/>
      <c r="G5" s="10"/>
      <c r="H5" s="9"/>
      <c r="I5" s="11"/>
    </row>
    <row r="6" spans="1:10" x14ac:dyDescent="0.35">
      <c r="A6" s="6"/>
      <c r="B6" s="7" t="s">
        <v>12</v>
      </c>
      <c r="C6" s="6"/>
      <c r="D6" s="8"/>
      <c r="E6" s="12"/>
      <c r="F6" s="12"/>
      <c r="G6" s="10"/>
      <c r="H6" s="9"/>
      <c r="I6" s="11"/>
    </row>
    <row r="7" spans="1:10" x14ac:dyDescent="0.35">
      <c r="A7" s="13" t="s">
        <v>13</v>
      </c>
      <c r="B7" s="13" t="s">
        <v>14</v>
      </c>
      <c r="C7" s="13" t="s">
        <v>15</v>
      </c>
      <c r="D7" s="14">
        <v>100000</v>
      </c>
      <c r="E7" s="14">
        <v>395.2</v>
      </c>
      <c r="F7" s="15">
        <v>5.2044489664979085E-2</v>
      </c>
      <c r="G7" s="16"/>
      <c r="H7" s="16"/>
      <c r="I7" s="11"/>
      <c r="J7" t="str">
        <f t="shared" ref="J7:J38" si="0">IFERROR(IF(VALUE(XDO_?PER_NET_ASST_EQU?)&lt;0.0001,"$",""),"")</f>
        <v/>
      </c>
    </row>
    <row r="8" spans="1:10" x14ac:dyDescent="0.35">
      <c r="A8" s="13" t="s">
        <v>16</v>
      </c>
      <c r="B8" s="13" t="s">
        <v>17</v>
      </c>
      <c r="C8" s="13" t="s">
        <v>18</v>
      </c>
      <c r="D8" s="14">
        <v>54000</v>
      </c>
      <c r="E8" s="14">
        <v>382.69799999999998</v>
      </c>
      <c r="F8" s="15">
        <v>5.0398082251538884E-2</v>
      </c>
      <c r="G8" s="16"/>
      <c r="H8" s="16"/>
      <c r="I8" s="11"/>
      <c r="J8" t="str">
        <f t="shared" si="0"/>
        <v/>
      </c>
    </row>
    <row r="9" spans="1:10" x14ac:dyDescent="0.35">
      <c r="A9" s="13" t="s">
        <v>19</v>
      </c>
      <c r="B9" s="13" t="s">
        <v>20</v>
      </c>
      <c r="C9" s="13" t="s">
        <v>21</v>
      </c>
      <c r="D9" s="14">
        <v>59000</v>
      </c>
      <c r="E9" s="14">
        <v>215.52699999999999</v>
      </c>
      <c r="F9" s="15">
        <v>2.8383078755121326E-2</v>
      </c>
      <c r="G9" s="16"/>
      <c r="H9" s="16"/>
      <c r="I9" s="11"/>
      <c r="J9" t="str">
        <f t="shared" si="0"/>
        <v/>
      </c>
    </row>
    <row r="10" spans="1:10" x14ac:dyDescent="0.35">
      <c r="A10" s="13" t="s">
        <v>22</v>
      </c>
      <c r="B10" s="13" t="s">
        <v>23</v>
      </c>
      <c r="C10" s="13" t="s">
        <v>15</v>
      </c>
      <c r="D10" s="14">
        <v>287520</v>
      </c>
      <c r="E10" s="14">
        <v>215.09371200000001</v>
      </c>
      <c r="F10" s="15">
        <v>2.8326018398749972E-2</v>
      </c>
      <c r="G10" s="16"/>
      <c r="H10" s="16"/>
      <c r="I10" s="11"/>
      <c r="J10" t="str">
        <f t="shared" si="0"/>
        <v/>
      </c>
    </row>
    <row r="11" spans="1:10" x14ac:dyDescent="0.35">
      <c r="A11" s="13" t="s">
        <v>24</v>
      </c>
      <c r="B11" s="13" t="s">
        <v>25</v>
      </c>
      <c r="C11" s="13" t="s">
        <v>26</v>
      </c>
      <c r="D11" s="14">
        <v>10000</v>
      </c>
      <c r="E11" s="14">
        <v>211.7</v>
      </c>
      <c r="F11" s="15">
        <v>2.787909529877549E-2</v>
      </c>
      <c r="G11" s="16"/>
      <c r="H11" s="16"/>
      <c r="I11" s="11"/>
      <c r="J11" t="str">
        <f t="shared" si="0"/>
        <v/>
      </c>
    </row>
    <row r="12" spans="1:10" x14ac:dyDescent="0.35">
      <c r="A12" s="13" t="s">
        <v>27</v>
      </c>
      <c r="B12" s="13" t="s">
        <v>28</v>
      </c>
      <c r="C12" s="13" t="s">
        <v>29</v>
      </c>
      <c r="D12" s="14">
        <v>26625</v>
      </c>
      <c r="E12" s="14">
        <v>211.4956875</v>
      </c>
      <c r="F12" s="15">
        <v>2.7852189074598677E-2</v>
      </c>
      <c r="G12" s="16"/>
      <c r="H12" s="16"/>
      <c r="I12" s="11"/>
      <c r="J12" t="str">
        <f t="shared" si="0"/>
        <v/>
      </c>
    </row>
    <row r="13" spans="1:10" x14ac:dyDescent="0.35">
      <c r="A13" s="13" t="s">
        <v>30</v>
      </c>
      <c r="B13" s="13" t="s">
        <v>31</v>
      </c>
      <c r="C13" s="13" t="s">
        <v>32</v>
      </c>
      <c r="D13" s="14">
        <v>27690</v>
      </c>
      <c r="E13" s="14">
        <v>201.76318499999999</v>
      </c>
      <c r="F13" s="15">
        <v>2.6570501003304058E-2</v>
      </c>
      <c r="G13" s="16"/>
      <c r="H13" s="16"/>
      <c r="I13" s="11"/>
      <c r="J13" t="str">
        <f t="shared" si="0"/>
        <v/>
      </c>
    </row>
    <row r="14" spans="1:10" x14ac:dyDescent="0.35">
      <c r="A14" s="13" t="s">
        <v>33</v>
      </c>
      <c r="B14" s="13" t="s">
        <v>34</v>
      </c>
      <c r="C14" s="13" t="s">
        <v>35</v>
      </c>
      <c r="D14" s="14">
        <v>3000</v>
      </c>
      <c r="E14" s="14">
        <v>200.17500000000001</v>
      </c>
      <c r="F14" s="15">
        <v>2.6361350502750985E-2</v>
      </c>
      <c r="G14" s="16"/>
      <c r="H14" s="16"/>
      <c r="I14" s="11"/>
      <c r="J14" t="str">
        <f t="shared" si="0"/>
        <v/>
      </c>
    </row>
    <row r="15" spans="1:10" x14ac:dyDescent="0.35">
      <c r="A15" s="13" t="s">
        <v>36</v>
      </c>
      <c r="B15" s="13" t="s">
        <v>37</v>
      </c>
      <c r="C15" s="13" t="s">
        <v>38</v>
      </c>
      <c r="D15" s="14">
        <v>79643</v>
      </c>
      <c r="E15" s="14">
        <v>199.18714299999999</v>
      </c>
      <c r="F15" s="15">
        <v>2.6231258110476243E-2</v>
      </c>
      <c r="G15" s="16"/>
      <c r="H15" s="16"/>
      <c r="I15" s="11"/>
      <c r="J15" t="str">
        <f t="shared" si="0"/>
        <v/>
      </c>
    </row>
    <row r="16" spans="1:10" x14ac:dyDescent="0.35">
      <c r="A16" s="13" t="s">
        <v>39</v>
      </c>
      <c r="B16" s="13" t="s">
        <v>40</v>
      </c>
      <c r="C16" s="13" t="s">
        <v>41</v>
      </c>
      <c r="D16" s="14">
        <v>134073</v>
      </c>
      <c r="E16" s="14">
        <v>193.8561507</v>
      </c>
      <c r="F16" s="15">
        <v>2.5529211618417962E-2</v>
      </c>
      <c r="G16" s="16"/>
      <c r="H16" s="16"/>
      <c r="I16" s="11"/>
      <c r="J16" t="str">
        <f t="shared" si="0"/>
        <v/>
      </c>
    </row>
    <row r="17" spans="1:10" x14ac:dyDescent="0.35">
      <c r="A17" s="13" t="s">
        <v>42</v>
      </c>
      <c r="B17" s="13" t="s">
        <v>43</v>
      </c>
      <c r="C17" s="13" t="s">
        <v>15</v>
      </c>
      <c r="D17" s="14">
        <v>40818</v>
      </c>
      <c r="E17" s="14">
        <v>181.150284</v>
      </c>
      <c r="F17" s="15">
        <v>2.3855956688881647E-2</v>
      </c>
      <c r="G17" s="16"/>
      <c r="H17" s="16"/>
      <c r="I17" s="11"/>
      <c r="J17" t="str">
        <f t="shared" si="0"/>
        <v/>
      </c>
    </row>
    <row r="18" spans="1:10" x14ac:dyDescent="0.35">
      <c r="A18" s="13" t="s">
        <v>44</v>
      </c>
      <c r="B18" s="13" t="s">
        <v>45</v>
      </c>
      <c r="C18" s="13" t="s">
        <v>46</v>
      </c>
      <c r="D18" s="14">
        <v>45222</v>
      </c>
      <c r="E18" s="14">
        <v>174.036867</v>
      </c>
      <c r="F18" s="15">
        <v>2.2919179974460628E-2</v>
      </c>
      <c r="G18" s="16"/>
      <c r="H18" s="16"/>
      <c r="I18" s="11"/>
      <c r="J18" t="str">
        <f t="shared" si="0"/>
        <v/>
      </c>
    </row>
    <row r="19" spans="1:10" x14ac:dyDescent="0.35">
      <c r="A19" s="13" t="s">
        <v>47</v>
      </c>
      <c r="B19" s="13" t="s">
        <v>48</v>
      </c>
      <c r="C19" s="13" t="s">
        <v>49</v>
      </c>
      <c r="D19" s="14">
        <v>5000</v>
      </c>
      <c r="E19" s="14">
        <v>169.61</v>
      </c>
      <c r="F19" s="15">
        <v>2.2336199119628298E-2</v>
      </c>
      <c r="G19" s="16"/>
      <c r="H19" s="16"/>
      <c r="I19" s="11"/>
      <c r="J19" t="str">
        <f t="shared" si="0"/>
        <v/>
      </c>
    </row>
    <row r="20" spans="1:10" x14ac:dyDescent="0.35">
      <c r="A20" s="13" t="s">
        <v>50</v>
      </c>
      <c r="B20" s="13" t="s">
        <v>51</v>
      </c>
      <c r="C20" s="13" t="s">
        <v>52</v>
      </c>
      <c r="D20" s="14">
        <v>13500</v>
      </c>
      <c r="E20" s="14">
        <v>166.45500000000001</v>
      </c>
      <c r="F20" s="15">
        <v>2.1920712366356513E-2</v>
      </c>
      <c r="G20" s="16"/>
      <c r="H20" s="16"/>
      <c r="I20" s="11"/>
      <c r="J20" t="str">
        <f t="shared" si="0"/>
        <v/>
      </c>
    </row>
    <row r="21" spans="1:10" x14ac:dyDescent="0.35">
      <c r="A21" s="13" t="s">
        <v>53</v>
      </c>
      <c r="B21" s="13" t="s">
        <v>54</v>
      </c>
      <c r="C21" s="13" t="s">
        <v>55</v>
      </c>
      <c r="D21" s="14">
        <v>146302</v>
      </c>
      <c r="E21" s="14">
        <v>165.87720759999999</v>
      </c>
      <c r="F21" s="15">
        <v>2.1844622005551088E-2</v>
      </c>
      <c r="G21" s="16"/>
      <c r="H21" s="16"/>
      <c r="I21" s="11"/>
      <c r="J21" t="str">
        <f t="shared" si="0"/>
        <v/>
      </c>
    </row>
    <row r="22" spans="1:10" x14ac:dyDescent="0.35">
      <c r="A22" s="13" t="s">
        <v>56</v>
      </c>
      <c r="B22" s="13" t="s">
        <v>57</v>
      </c>
      <c r="C22" s="13" t="s">
        <v>58</v>
      </c>
      <c r="D22" s="14">
        <v>20000</v>
      </c>
      <c r="E22" s="14">
        <v>163.63</v>
      </c>
      <c r="F22" s="15">
        <v>2.1548683815487166E-2</v>
      </c>
      <c r="G22" s="16"/>
      <c r="H22" s="16"/>
      <c r="I22" s="11"/>
      <c r="J22" t="str">
        <f t="shared" si="0"/>
        <v/>
      </c>
    </row>
    <row r="23" spans="1:10" x14ac:dyDescent="0.35">
      <c r="A23" s="13" t="s">
        <v>59</v>
      </c>
      <c r="B23" s="13" t="s">
        <v>60</v>
      </c>
      <c r="C23" s="13" t="s">
        <v>52</v>
      </c>
      <c r="D23" s="14">
        <v>19769</v>
      </c>
      <c r="E23" s="14">
        <v>163.1832105</v>
      </c>
      <c r="F23" s="15">
        <v>2.1489845426025701E-2</v>
      </c>
      <c r="G23" s="16"/>
      <c r="H23" s="16"/>
      <c r="I23" s="11"/>
      <c r="J23" t="str">
        <f t="shared" si="0"/>
        <v/>
      </c>
    </row>
    <row r="24" spans="1:10" x14ac:dyDescent="0.35">
      <c r="A24" s="13" t="s">
        <v>61</v>
      </c>
      <c r="B24" s="13" t="s">
        <v>62</v>
      </c>
      <c r="C24" s="13" t="s">
        <v>26</v>
      </c>
      <c r="D24" s="14">
        <v>40000</v>
      </c>
      <c r="E24" s="14">
        <v>161.88</v>
      </c>
      <c r="F24" s="15">
        <v>2.1318223651231819E-2</v>
      </c>
      <c r="G24" s="16"/>
      <c r="H24" s="16"/>
      <c r="I24" s="11"/>
      <c r="J24" t="str">
        <f t="shared" si="0"/>
        <v/>
      </c>
    </row>
    <row r="25" spans="1:10" x14ac:dyDescent="0.35">
      <c r="A25" s="13" t="s">
        <v>63</v>
      </c>
      <c r="B25" s="13" t="s">
        <v>64</v>
      </c>
      <c r="C25" s="13" t="s">
        <v>65</v>
      </c>
      <c r="D25" s="14">
        <v>4374</v>
      </c>
      <c r="E25" s="14">
        <v>158.671224</v>
      </c>
      <c r="F25" s="15">
        <v>2.0895655054649753E-2</v>
      </c>
      <c r="G25" s="16"/>
      <c r="H25" s="16"/>
      <c r="I25" s="11"/>
      <c r="J25" t="str">
        <f t="shared" si="0"/>
        <v/>
      </c>
    </row>
    <row r="26" spans="1:10" x14ac:dyDescent="0.35">
      <c r="A26" s="13" t="s">
        <v>66</v>
      </c>
      <c r="B26" s="13" t="s">
        <v>67</v>
      </c>
      <c r="C26" s="13" t="s">
        <v>68</v>
      </c>
      <c r="D26" s="14">
        <v>125000</v>
      </c>
      <c r="E26" s="14">
        <v>154.35</v>
      </c>
      <c r="F26" s="15">
        <v>2.0326586487321666E-2</v>
      </c>
      <c r="G26" s="16"/>
      <c r="H26" s="16"/>
      <c r="I26" s="11"/>
      <c r="J26" t="str">
        <f t="shared" si="0"/>
        <v/>
      </c>
    </row>
    <row r="27" spans="1:10" x14ac:dyDescent="0.35">
      <c r="A27" s="13" t="s">
        <v>69</v>
      </c>
      <c r="B27" s="13" t="s">
        <v>70</v>
      </c>
      <c r="C27" s="13" t="s">
        <v>71</v>
      </c>
      <c r="D27" s="14">
        <v>3241</v>
      </c>
      <c r="E27" s="14">
        <v>150.02589</v>
      </c>
      <c r="F27" s="15">
        <v>1.9757137858259843E-2</v>
      </c>
      <c r="G27" s="16"/>
      <c r="H27" s="16"/>
      <c r="I27" s="11"/>
      <c r="J27" t="str">
        <f t="shared" si="0"/>
        <v/>
      </c>
    </row>
    <row r="28" spans="1:10" x14ac:dyDescent="0.35">
      <c r="A28" s="13" t="s">
        <v>72</v>
      </c>
      <c r="B28" s="13" t="s">
        <v>73</v>
      </c>
      <c r="C28" s="13" t="s">
        <v>35</v>
      </c>
      <c r="D28" s="14">
        <v>69441</v>
      </c>
      <c r="E28" s="14">
        <v>144.90253469999999</v>
      </c>
      <c r="F28" s="15">
        <v>1.9082435398844695E-2</v>
      </c>
      <c r="G28" s="16"/>
      <c r="H28" s="16"/>
      <c r="I28" s="11"/>
      <c r="J28" t="str">
        <f t="shared" si="0"/>
        <v/>
      </c>
    </row>
    <row r="29" spans="1:10" x14ac:dyDescent="0.35">
      <c r="A29" s="13" t="s">
        <v>74</v>
      </c>
      <c r="B29" s="13" t="s">
        <v>75</v>
      </c>
      <c r="C29" s="13" t="s">
        <v>76</v>
      </c>
      <c r="D29" s="14">
        <v>3407</v>
      </c>
      <c r="E29" s="14">
        <v>144.18423999999999</v>
      </c>
      <c r="F29" s="15">
        <v>1.8987842076247128E-2</v>
      </c>
      <c r="G29" s="16"/>
      <c r="H29" s="16"/>
      <c r="I29" s="11"/>
      <c r="J29" t="str">
        <f t="shared" si="0"/>
        <v/>
      </c>
    </row>
    <row r="30" spans="1:10" x14ac:dyDescent="0.35">
      <c r="A30" s="13" t="s">
        <v>77</v>
      </c>
      <c r="B30" s="13" t="s">
        <v>78</v>
      </c>
      <c r="C30" s="13" t="s">
        <v>46</v>
      </c>
      <c r="D30" s="14">
        <v>328088</v>
      </c>
      <c r="E30" s="14">
        <v>138.9124592</v>
      </c>
      <c r="F30" s="15">
        <v>1.8293593236769306E-2</v>
      </c>
      <c r="G30" s="16"/>
      <c r="H30" s="16"/>
      <c r="I30" s="11"/>
      <c r="J30" t="str">
        <f t="shared" si="0"/>
        <v/>
      </c>
    </row>
    <row r="31" spans="1:10" x14ac:dyDescent="0.35">
      <c r="A31" s="13" t="s">
        <v>79</v>
      </c>
      <c r="B31" s="13" t="s">
        <v>80</v>
      </c>
      <c r="C31" s="13" t="s">
        <v>26</v>
      </c>
      <c r="D31" s="14">
        <v>100</v>
      </c>
      <c r="E31" s="14">
        <v>125.28</v>
      </c>
      <c r="F31" s="15">
        <v>1.6498313930234262E-2</v>
      </c>
      <c r="G31" s="16"/>
      <c r="H31" s="16"/>
      <c r="I31" s="11"/>
      <c r="J31" t="str">
        <f t="shared" si="0"/>
        <v/>
      </c>
    </row>
    <row r="32" spans="1:10" x14ac:dyDescent="0.35">
      <c r="A32" s="13" t="s">
        <v>81</v>
      </c>
      <c r="B32" s="13" t="s">
        <v>82</v>
      </c>
      <c r="C32" s="13" t="s">
        <v>32</v>
      </c>
      <c r="D32" s="14">
        <v>75000</v>
      </c>
      <c r="E32" s="14">
        <v>123.0975</v>
      </c>
      <c r="F32" s="15">
        <v>1.6210897182527235E-2</v>
      </c>
      <c r="G32" s="16"/>
      <c r="H32" s="16"/>
      <c r="I32" s="11"/>
      <c r="J32" t="str">
        <f t="shared" si="0"/>
        <v/>
      </c>
    </row>
    <row r="33" spans="1:10" x14ac:dyDescent="0.35">
      <c r="A33" s="13" t="s">
        <v>83</v>
      </c>
      <c r="B33" s="13" t="s">
        <v>84</v>
      </c>
      <c r="C33" s="13" t="s">
        <v>32</v>
      </c>
      <c r="D33" s="14">
        <v>39512</v>
      </c>
      <c r="E33" s="14">
        <v>118.97063199999999</v>
      </c>
      <c r="F33" s="15">
        <v>1.5667423652732871E-2</v>
      </c>
      <c r="G33" s="16"/>
      <c r="H33" s="16"/>
      <c r="I33" s="11"/>
      <c r="J33" t="str">
        <f t="shared" si="0"/>
        <v/>
      </c>
    </row>
    <row r="34" spans="1:10" x14ac:dyDescent="0.35">
      <c r="A34" s="13" t="s">
        <v>85</v>
      </c>
      <c r="B34" s="13" t="s">
        <v>86</v>
      </c>
      <c r="C34" s="13" t="s">
        <v>71</v>
      </c>
      <c r="D34" s="14">
        <v>90364</v>
      </c>
      <c r="E34" s="14">
        <v>117.9882748</v>
      </c>
      <c r="F34" s="15">
        <v>1.55380555374932E-2</v>
      </c>
      <c r="G34" s="16"/>
      <c r="H34" s="16"/>
      <c r="I34" s="11"/>
      <c r="J34" t="str">
        <f t="shared" si="0"/>
        <v/>
      </c>
    </row>
    <row r="35" spans="1:10" x14ac:dyDescent="0.35">
      <c r="A35" s="13" t="s">
        <v>87</v>
      </c>
      <c r="B35" s="13" t="s">
        <v>88</v>
      </c>
      <c r="C35" s="13" t="s">
        <v>26</v>
      </c>
      <c r="D35" s="14">
        <v>7500</v>
      </c>
      <c r="E35" s="14">
        <v>113.24250000000001</v>
      </c>
      <c r="F35" s="15">
        <v>1.4913077228963548E-2</v>
      </c>
      <c r="G35" s="16"/>
      <c r="H35" s="16"/>
      <c r="I35" s="11"/>
      <c r="J35" t="str">
        <f t="shared" si="0"/>
        <v/>
      </c>
    </row>
    <row r="36" spans="1:10" x14ac:dyDescent="0.35">
      <c r="A36" s="13" t="s">
        <v>89</v>
      </c>
      <c r="B36" s="13" t="s">
        <v>90</v>
      </c>
      <c r="C36" s="13" t="s">
        <v>52</v>
      </c>
      <c r="D36" s="14">
        <v>2097</v>
      </c>
      <c r="E36" s="14">
        <v>108.278595</v>
      </c>
      <c r="F36" s="15">
        <v>1.4259373022307582E-2</v>
      </c>
      <c r="G36" s="16"/>
      <c r="H36" s="16"/>
      <c r="I36" s="11"/>
      <c r="J36" t="str">
        <f t="shared" si="0"/>
        <v/>
      </c>
    </row>
    <row r="37" spans="1:10" x14ac:dyDescent="0.35">
      <c r="A37" s="13" t="s">
        <v>91</v>
      </c>
      <c r="B37" s="13" t="s">
        <v>92</v>
      </c>
      <c r="C37" s="13" t="s">
        <v>29</v>
      </c>
      <c r="D37" s="14">
        <v>3129</v>
      </c>
      <c r="E37" s="14">
        <v>107.88166200000001</v>
      </c>
      <c r="F37" s="15">
        <v>1.420710031123423E-2</v>
      </c>
      <c r="G37" s="16"/>
      <c r="H37" s="16"/>
      <c r="I37" s="11"/>
      <c r="J37" t="str">
        <f t="shared" si="0"/>
        <v/>
      </c>
    </row>
    <row r="38" spans="1:10" x14ac:dyDescent="0.35">
      <c r="A38" s="13" t="s">
        <v>93</v>
      </c>
      <c r="B38" s="13" t="s">
        <v>94</v>
      </c>
      <c r="C38" s="13" t="s">
        <v>32</v>
      </c>
      <c r="D38" s="14">
        <v>101951</v>
      </c>
      <c r="E38" s="14">
        <v>106.2839175</v>
      </c>
      <c r="F38" s="15">
        <v>1.399669090557247E-2</v>
      </c>
      <c r="G38" s="16"/>
      <c r="H38" s="16"/>
      <c r="I38" s="11"/>
      <c r="J38" t="str">
        <f t="shared" si="0"/>
        <v/>
      </c>
    </row>
    <row r="39" spans="1:10" x14ac:dyDescent="0.35">
      <c r="A39" s="13" t="s">
        <v>95</v>
      </c>
      <c r="B39" s="13" t="s">
        <v>96</v>
      </c>
      <c r="C39" s="13" t="s">
        <v>32</v>
      </c>
      <c r="D39" s="14">
        <v>100000</v>
      </c>
      <c r="E39" s="14">
        <v>102.39</v>
      </c>
      <c r="F39" s="15">
        <v>1.3483894981774314E-2</v>
      </c>
      <c r="G39" s="16"/>
      <c r="H39" s="16"/>
      <c r="I39" s="11"/>
      <c r="J39" t="str">
        <f t="shared" ref="J39:J60" si="1">IFERROR(IF(VALUE(XDO_?PER_NET_ASST_EQU?)&lt;0.0001,"$",""),"")</f>
        <v/>
      </c>
    </row>
    <row r="40" spans="1:10" x14ac:dyDescent="0.35">
      <c r="A40" s="13" t="s">
        <v>97</v>
      </c>
      <c r="B40" s="13" t="s">
        <v>98</v>
      </c>
      <c r="C40" s="13" t="s">
        <v>35</v>
      </c>
      <c r="D40" s="14">
        <v>10000</v>
      </c>
      <c r="E40" s="14">
        <v>101.6</v>
      </c>
      <c r="F40" s="15">
        <v>1.3379858679053329E-2</v>
      </c>
      <c r="G40" s="16"/>
      <c r="H40" s="16"/>
      <c r="I40" s="11"/>
      <c r="J40" t="str">
        <f t="shared" si="1"/>
        <v/>
      </c>
    </row>
    <row r="41" spans="1:10" x14ac:dyDescent="0.35">
      <c r="A41" s="13" t="s">
        <v>99</v>
      </c>
      <c r="B41" s="13" t="s">
        <v>100</v>
      </c>
      <c r="C41" s="13" t="s">
        <v>101</v>
      </c>
      <c r="D41" s="14">
        <v>5000</v>
      </c>
      <c r="E41" s="14">
        <v>99.62</v>
      </c>
      <c r="F41" s="15">
        <v>1.3119109464638706E-2</v>
      </c>
      <c r="G41" s="16"/>
      <c r="H41" s="16"/>
      <c r="I41" s="11"/>
      <c r="J41" t="str">
        <f t="shared" si="1"/>
        <v/>
      </c>
    </row>
    <row r="42" spans="1:10" x14ac:dyDescent="0.35">
      <c r="A42" s="13" t="s">
        <v>102</v>
      </c>
      <c r="B42" s="13" t="s">
        <v>103</v>
      </c>
      <c r="C42" s="13" t="s">
        <v>35</v>
      </c>
      <c r="D42" s="14">
        <v>27000</v>
      </c>
      <c r="E42" s="14">
        <v>97.47</v>
      </c>
      <c r="F42" s="15">
        <v>1.2835972691410708E-2</v>
      </c>
      <c r="G42" s="16"/>
      <c r="H42" s="16"/>
      <c r="I42" s="11"/>
      <c r="J42" t="str">
        <f t="shared" si="1"/>
        <v/>
      </c>
    </row>
    <row r="43" spans="1:10" x14ac:dyDescent="0.35">
      <c r="A43" s="13" t="s">
        <v>104</v>
      </c>
      <c r="B43" s="13" t="s">
        <v>105</v>
      </c>
      <c r="C43" s="13" t="s">
        <v>29</v>
      </c>
      <c r="D43" s="14">
        <v>51200</v>
      </c>
      <c r="E43" s="14">
        <v>95.191040000000001</v>
      </c>
      <c r="F43" s="15">
        <v>1.2535852979449926E-2</v>
      </c>
      <c r="G43" s="16"/>
      <c r="H43" s="16"/>
      <c r="I43" s="11"/>
      <c r="J43" t="str">
        <f t="shared" si="1"/>
        <v/>
      </c>
    </row>
    <row r="44" spans="1:10" x14ac:dyDescent="0.35">
      <c r="A44" s="13" t="s">
        <v>106</v>
      </c>
      <c r="B44" s="13" t="s">
        <v>107</v>
      </c>
      <c r="C44" s="13" t="s">
        <v>108</v>
      </c>
      <c r="D44" s="14">
        <v>10500</v>
      </c>
      <c r="E44" s="14">
        <v>89.25</v>
      </c>
      <c r="F44" s="15">
        <v>1.1753468377022732E-2</v>
      </c>
      <c r="G44" s="16"/>
      <c r="H44" s="16"/>
      <c r="I44" s="11"/>
      <c r="J44" t="str">
        <f t="shared" si="1"/>
        <v/>
      </c>
    </row>
    <row r="45" spans="1:10" x14ac:dyDescent="0.35">
      <c r="A45" s="13" t="s">
        <v>109</v>
      </c>
      <c r="B45" s="13" t="s">
        <v>110</v>
      </c>
      <c r="C45" s="13" t="s">
        <v>111</v>
      </c>
      <c r="D45" s="14">
        <v>21000</v>
      </c>
      <c r="E45" s="14">
        <v>82.677000000000007</v>
      </c>
      <c r="F45" s="15">
        <v>1.0887860000079646E-2</v>
      </c>
      <c r="G45" s="16"/>
      <c r="H45" s="16"/>
      <c r="I45" s="11"/>
      <c r="J45" t="str">
        <f t="shared" si="1"/>
        <v/>
      </c>
    </row>
    <row r="46" spans="1:10" x14ac:dyDescent="0.35">
      <c r="A46" s="13" t="s">
        <v>112</v>
      </c>
      <c r="B46" s="13" t="s">
        <v>113</v>
      </c>
      <c r="C46" s="13" t="s">
        <v>114</v>
      </c>
      <c r="D46" s="14">
        <v>6967</v>
      </c>
      <c r="E46" s="14">
        <v>79.019713999999993</v>
      </c>
      <c r="F46" s="15">
        <v>1.040622643877177E-2</v>
      </c>
      <c r="G46" s="16"/>
      <c r="H46" s="16"/>
      <c r="I46" s="11"/>
      <c r="J46" t="str">
        <f t="shared" si="1"/>
        <v/>
      </c>
    </row>
    <row r="47" spans="1:10" x14ac:dyDescent="0.35">
      <c r="A47" s="13" t="s">
        <v>115</v>
      </c>
      <c r="B47" s="13" t="s">
        <v>116</v>
      </c>
      <c r="C47" s="13" t="s">
        <v>117</v>
      </c>
      <c r="D47" s="14">
        <v>50718</v>
      </c>
      <c r="E47" s="14">
        <v>78.896920800000004</v>
      </c>
      <c r="F47" s="15">
        <v>1.0390055615319518E-2</v>
      </c>
      <c r="G47" s="16"/>
      <c r="H47" s="16"/>
      <c r="I47" s="11"/>
      <c r="J47" t="str">
        <f t="shared" si="1"/>
        <v/>
      </c>
    </row>
    <row r="48" spans="1:10" x14ac:dyDescent="0.35">
      <c r="A48" s="13" t="s">
        <v>118</v>
      </c>
      <c r="B48" s="13" t="s">
        <v>119</v>
      </c>
      <c r="C48" s="13" t="s">
        <v>52</v>
      </c>
      <c r="D48" s="14">
        <v>6000</v>
      </c>
      <c r="E48" s="14">
        <v>71.513999999999996</v>
      </c>
      <c r="F48" s="15">
        <v>9.4177875351753905E-3</v>
      </c>
      <c r="G48" s="16"/>
      <c r="H48" s="16"/>
      <c r="I48" s="11"/>
      <c r="J48" t="str">
        <f t="shared" si="1"/>
        <v/>
      </c>
    </row>
    <row r="49" spans="1:10" x14ac:dyDescent="0.35">
      <c r="A49" s="13" t="s">
        <v>120</v>
      </c>
      <c r="B49" s="13" t="s">
        <v>121</v>
      </c>
      <c r="C49" s="13" t="s">
        <v>26</v>
      </c>
      <c r="D49" s="14">
        <v>3000</v>
      </c>
      <c r="E49" s="14">
        <v>71.25</v>
      </c>
      <c r="F49" s="15">
        <v>9.383020973253442E-3</v>
      </c>
      <c r="G49" s="16"/>
      <c r="H49" s="16"/>
      <c r="I49" s="11"/>
      <c r="J49" t="str">
        <f t="shared" si="1"/>
        <v/>
      </c>
    </row>
    <row r="50" spans="1:10" x14ac:dyDescent="0.35">
      <c r="A50" s="13" t="s">
        <v>122</v>
      </c>
      <c r="B50" s="13" t="s">
        <v>123</v>
      </c>
      <c r="C50" s="13" t="s">
        <v>124</v>
      </c>
      <c r="D50" s="14">
        <v>7000</v>
      </c>
      <c r="E50" s="14">
        <v>65.926000000000002</v>
      </c>
      <c r="F50" s="15">
        <v>8.6818953078274582E-3</v>
      </c>
      <c r="G50" s="16"/>
      <c r="H50" s="16"/>
      <c r="I50" s="11"/>
      <c r="J50" t="str">
        <f t="shared" si="1"/>
        <v/>
      </c>
    </row>
    <row r="51" spans="1:10" x14ac:dyDescent="0.35">
      <c r="A51" s="13" t="s">
        <v>125</v>
      </c>
      <c r="B51" s="13" t="s">
        <v>126</v>
      </c>
      <c r="C51" s="13" t="s">
        <v>55</v>
      </c>
      <c r="D51" s="14">
        <v>12857</v>
      </c>
      <c r="E51" s="14">
        <v>63.295011000000002</v>
      </c>
      <c r="F51" s="15">
        <v>8.3354163609165935E-3</v>
      </c>
      <c r="G51" s="16"/>
      <c r="H51" s="16"/>
      <c r="I51" s="11"/>
      <c r="J51" t="str">
        <f t="shared" si="1"/>
        <v/>
      </c>
    </row>
    <row r="52" spans="1:10" x14ac:dyDescent="0.35">
      <c r="A52" s="13" t="s">
        <v>127</v>
      </c>
      <c r="B52" s="13" t="s">
        <v>128</v>
      </c>
      <c r="C52" s="13" t="s">
        <v>65</v>
      </c>
      <c r="D52" s="14">
        <v>15000</v>
      </c>
      <c r="E52" s="14">
        <v>61.387500000000003</v>
      </c>
      <c r="F52" s="15">
        <v>8.0842133332715178E-3</v>
      </c>
      <c r="G52" s="16"/>
      <c r="H52" s="16"/>
      <c r="I52" s="11"/>
      <c r="J52" t="str">
        <f t="shared" si="1"/>
        <v/>
      </c>
    </row>
    <row r="53" spans="1:10" x14ac:dyDescent="0.35">
      <c r="A53" s="13" t="s">
        <v>129</v>
      </c>
      <c r="B53" s="13" t="s">
        <v>130</v>
      </c>
      <c r="C53" s="13" t="s">
        <v>55</v>
      </c>
      <c r="D53" s="14">
        <v>16000</v>
      </c>
      <c r="E53" s="14">
        <v>59.84</v>
      </c>
      <c r="F53" s="15">
        <v>7.880420702308575E-3</v>
      </c>
      <c r="G53" s="16"/>
      <c r="H53" s="16"/>
      <c r="I53" s="11"/>
      <c r="J53" t="str">
        <f t="shared" si="1"/>
        <v/>
      </c>
    </row>
    <row r="54" spans="1:10" x14ac:dyDescent="0.35">
      <c r="A54" s="13" t="s">
        <v>131</v>
      </c>
      <c r="B54" s="13" t="s">
        <v>132</v>
      </c>
      <c r="C54" s="13" t="s">
        <v>29</v>
      </c>
      <c r="D54" s="14">
        <v>750</v>
      </c>
      <c r="E54" s="14">
        <v>44.366250000000001</v>
      </c>
      <c r="F54" s="15">
        <v>5.8426590070821821E-3</v>
      </c>
      <c r="G54" s="16"/>
      <c r="H54" s="16"/>
      <c r="I54" s="11"/>
      <c r="J54" t="str">
        <f t="shared" si="1"/>
        <v/>
      </c>
    </row>
    <row r="55" spans="1:10" x14ac:dyDescent="0.35">
      <c r="A55" s="13" t="s">
        <v>133</v>
      </c>
      <c r="B55" s="13" t="s">
        <v>134</v>
      </c>
      <c r="C55" s="13" t="s">
        <v>135</v>
      </c>
      <c r="D55" s="14">
        <v>30000</v>
      </c>
      <c r="E55" s="14">
        <v>43.683</v>
      </c>
      <c r="F55" s="15">
        <v>5.7526807743807726E-3</v>
      </c>
      <c r="G55" s="16"/>
      <c r="H55" s="16"/>
      <c r="I55" s="11"/>
      <c r="J55" t="str">
        <f t="shared" si="1"/>
        <v/>
      </c>
    </row>
    <row r="56" spans="1:10" x14ac:dyDescent="0.35">
      <c r="A56" s="13" t="s">
        <v>136</v>
      </c>
      <c r="B56" s="13" t="s">
        <v>137</v>
      </c>
      <c r="C56" s="13" t="s">
        <v>38</v>
      </c>
      <c r="D56" s="14">
        <v>24000</v>
      </c>
      <c r="E56" s="14">
        <v>43.185600000000001</v>
      </c>
      <c r="F56" s="15">
        <v>5.687177411123282E-3</v>
      </c>
      <c r="G56" s="16"/>
      <c r="H56" s="16"/>
      <c r="I56" s="11"/>
      <c r="J56" t="str">
        <f t="shared" si="1"/>
        <v/>
      </c>
    </row>
    <row r="57" spans="1:10" x14ac:dyDescent="0.35">
      <c r="A57" s="13" t="s">
        <v>138</v>
      </c>
      <c r="B57" s="13" t="s">
        <v>139</v>
      </c>
      <c r="C57" s="13" t="s">
        <v>140</v>
      </c>
      <c r="D57" s="14">
        <v>10000</v>
      </c>
      <c r="E57" s="14">
        <v>38.83</v>
      </c>
      <c r="F57" s="15">
        <v>5.1135818160200864E-3</v>
      </c>
      <c r="G57" s="16"/>
      <c r="H57" s="16"/>
      <c r="I57" s="11"/>
      <c r="J57" t="str">
        <f t="shared" si="1"/>
        <v/>
      </c>
    </row>
    <row r="58" spans="1:10" x14ac:dyDescent="0.35">
      <c r="A58" s="13" t="s">
        <v>141</v>
      </c>
      <c r="B58" s="13" t="s">
        <v>142</v>
      </c>
      <c r="C58" s="13" t="s">
        <v>143</v>
      </c>
      <c r="D58" s="14">
        <v>2118</v>
      </c>
      <c r="E58" s="14">
        <v>24.037182000000001</v>
      </c>
      <c r="F58" s="15">
        <v>3.1654930925461068E-3</v>
      </c>
      <c r="G58" s="16"/>
      <c r="H58" s="16"/>
      <c r="I58" s="11"/>
      <c r="J58" t="str">
        <f t="shared" si="1"/>
        <v/>
      </c>
    </row>
    <row r="59" spans="1:10" x14ac:dyDescent="0.35">
      <c r="A59" s="13" t="s">
        <v>144</v>
      </c>
      <c r="B59" s="13" t="s">
        <v>145</v>
      </c>
      <c r="C59" s="13" t="s">
        <v>146</v>
      </c>
      <c r="D59" s="14">
        <v>4000</v>
      </c>
      <c r="E59" s="14">
        <v>21.72</v>
      </c>
      <c r="F59" s="15">
        <v>2.8603398672149439E-3</v>
      </c>
      <c r="G59" s="16"/>
      <c r="H59" s="16"/>
      <c r="I59" s="11"/>
      <c r="J59" t="str">
        <f t="shared" si="1"/>
        <v/>
      </c>
    </row>
    <row r="60" spans="1:10" x14ac:dyDescent="0.35">
      <c r="A60" s="13" t="s">
        <v>147</v>
      </c>
      <c r="B60" s="13" t="s">
        <v>148</v>
      </c>
      <c r="C60" s="13" t="s">
        <v>149</v>
      </c>
      <c r="D60" s="14">
        <v>3250</v>
      </c>
      <c r="E60" s="14">
        <v>15.801500000000001</v>
      </c>
      <c r="F60" s="15">
        <v>2.0809235917033579E-3</v>
      </c>
      <c r="G60" s="16"/>
      <c r="H60" s="16"/>
      <c r="I60" s="11"/>
      <c r="J60" t="str">
        <f t="shared" si="1"/>
        <v/>
      </c>
    </row>
    <row r="61" spans="1:10" x14ac:dyDescent="0.35">
      <c r="A61" s="17"/>
      <c r="B61" s="7" t="s">
        <v>150</v>
      </c>
      <c r="C61" s="17"/>
      <c r="D61" s="18"/>
      <c r="E61" s="19">
        <v>7035.5385942999983</v>
      </c>
      <c r="F61" s="20">
        <v>0.92652078860983733</v>
      </c>
      <c r="G61" s="21"/>
      <c r="H61" s="22"/>
      <c r="I61" s="11"/>
    </row>
    <row r="62" spans="1:10" x14ac:dyDescent="0.35">
      <c r="A62" s="6"/>
      <c r="B62" s="7" t="s">
        <v>151</v>
      </c>
      <c r="C62" s="6"/>
      <c r="D62" s="8"/>
      <c r="E62" s="12" t="s">
        <v>152</v>
      </c>
      <c r="F62" s="12" t="s">
        <v>152</v>
      </c>
      <c r="G62" s="21"/>
      <c r="H62" s="22"/>
      <c r="I62" s="11"/>
    </row>
    <row r="63" spans="1:10" x14ac:dyDescent="0.35">
      <c r="A63" s="17"/>
      <c r="B63" s="7" t="s">
        <v>150</v>
      </c>
      <c r="C63" s="17"/>
      <c r="D63" s="18"/>
      <c r="E63" s="19" t="s">
        <v>152</v>
      </c>
      <c r="F63" s="20" t="s">
        <v>152</v>
      </c>
      <c r="G63" s="21"/>
      <c r="H63" s="22"/>
      <c r="I63" s="11"/>
    </row>
    <row r="64" spans="1:10" x14ac:dyDescent="0.35">
      <c r="A64" s="17"/>
      <c r="B64" s="23" t="s">
        <v>153</v>
      </c>
      <c r="C64" s="17"/>
      <c r="D64" s="18"/>
      <c r="E64" s="19" t="s">
        <v>152</v>
      </c>
      <c r="F64" s="20" t="s">
        <v>152</v>
      </c>
      <c r="G64" s="21"/>
      <c r="H64" s="22"/>
      <c r="I64" s="11"/>
    </row>
    <row r="65" spans="1:9" x14ac:dyDescent="0.35">
      <c r="A65" s="17"/>
      <c r="B65" s="7" t="s">
        <v>150</v>
      </c>
      <c r="C65" s="17"/>
      <c r="D65" s="18"/>
      <c r="E65" s="19" t="s">
        <v>152</v>
      </c>
      <c r="F65" s="20" t="s">
        <v>152</v>
      </c>
      <c r="G65" s="21"/>
      <c r="H65" s="22"/>
      <c r="I65" s="11"/>
    </row>
    <row r="66" spans="1:9" x14ac:dyDescent="0.35">
      <c r="A66" s="17"/>
      <c r="B66" s="23" t="s">
        <v>154</v>
      </c>
      <c r="C66" s="17"/>
      <c r="D66" s="18"/>
      <c r="E66" s="19" t="s">
        <v>152</v>
      </c>
      <c r="F66" s="20" t="s">
        <v>152</v>
      </c>
      <c r="G66" s="21"/>
      <c r="H66" s="22"/>
      <c r="I66" s="11"/>
    </row>
    <row r="67" spans="1:9" x14ac:dyDescent="0.35">
      <c r="A67" s="17"/>
      <c r="B67" s="7" t="s">
        <v>150</v>
      </c>
      <c r="C67" s="17"/>
      <c r="D67" s="18"/>
      <c r="E67" s="19" t="s">
        <v>152</v>
      </c>
      <c r="F67" s="20" t="s">
        <v>152</v>
      </c>
      <c r="G67" s="21"/>
      <c r="H67" s="22"/>
      <c r="I67" s="11"/>
    </row>
    <row r="68" spans="1:9" x14ac:dyDescent="0.35">
      <c r="A68" s="17"/>
      <c r="B68" s="7" t="s">
        <v>155</v>
      </c>
      <c r="C68" s="17"/>
      <c r="D68" s="18"/>
      <c r="E68" s="19">
        <v>7035.5385942999983</v>
      </c>
      <c r="F68" s="20">
        <v>0.92652078860983733</v>
      </c>
      <c r="G68" s="21"/>
      <c r="H68" s="22"/>
      <c r="I68" s="11"/>
    </row>
    <row r="69" spans="1:9" x14ac:dyDescent="0.35">
      <c r="A69" s="17"/>
      <c r="B69" s="7"/>
      <c r="C69" s="17"/>
      <c r="D69" s="18"/>
      <c r="E69" s="19"/>
      <c r="F69" s="24"/>
      <c r="G69" s="21"/>
      <c r="H69" s="22"/>
      <c r="I69" s="11"/>
    </row>
    <row r="70" spans="1:9" x14ac:dyDescent="0.35">
      <c r="A70" s="6"/>
      <c r="B70" s="7" t="s">
        <v>156</v>
      </c>
      <c r="C70" s="6"/>
      <c r="D70" s="6"/>
      <c r="E70" s="6"/>
      <c r="F70" s="25"/>
      <c r="G70" s="26"/>
      <c r="H70" s="6"/>
      <c r="I70" s="11"/>
    </row>
    <row r="71" spans="1:9" x14ac:dyDescent="0.35">
      <c r="A71" s="13"/>
      <c r="B71" s="7" t="s">
        <v>157</v>
      </c>
      <c r="C71" s="13"/>
      <c r="D71" s="27"/>
      <c r="E71" s="19" t="s">
        <v>152</v>
      </c>
      <c r="F71" s="28" t="s">
        <v>152</v>
      </c>
      <c r="G71" s="11"/>
      <c r="H71" s="13"/>
      <c r="I71" s="11"/>
    </row>
    <row r="72" spans="1:9" x14ac:dyDescent="0.35">
      <c r="A72" s="6"/>
      <c r="B72" s="7" t="s">
        <v>150</v>
      </c>
      <c r="C72" s="6"/>
      <c r="D72" s="8"/>
      <c r="E72" s="29" t="s">
        <v>152</v>
      </c>
      <c r="F72" s="20" t="s">
        <v>152</v>
      </c>
      <c r="G72" s="30"/>
      <c r="H72" s="20"/>
      <c r="I72" s="11"/>
    </row>
    <row r="73" spans="1:9" x14ac:dyDescent="0.35">
      <c r="A73" s="17"/>
      <c r="B73" s="7" t="s">
        <v>158</v>
      </c>
      <c r="C73" s="17"/>
      <c r="D73" s="18"/>
      <c r="E73" s="12" t="s">
        <v>152</v>
      </c>
      <c r="F73" s="12" t="s">
        <v>152</v>
      </c>
      <c r="G73" s="30"/>
      <c r="H73" s="20"/>
      <c r="I73" s="11"/>
    </row>
    <row r="74" spans="1:9" x14ac:dyDescent="0.35">
      <c r="A74" s="31"/>
      <c r="B74" s="7" t="s">
        <v>150</v>
      </c>
      <c r="C74" s="31"/>
      <c r="D74" s="31"/>
      <c r="E74" s="29" t="s">
        <v>152</v>
      </c>
      <c r="F74" s="20" t="s">
        <v>152</v>
      </c>
      <c r="G74" s="32"/>
      <c r="H74" s="31"/>
      <c r="I74" s="11"/>
    </row>
    <row r="75" spans="1:9" x14ac:dyDescent="0.35">
      <c r="A75" s="31"/>
      <c r="B75" s="7" t="s">
        <v>159</v>
      </c>
      <c r="C75" s="31"/>
      <c r="D75" s="32"/>
      <c r="E75" s="12" t="s">
        <v>152</v>
      </c>
      <c r="F75" s="12" t="s">
        <v>152</v>
      </c>
      <c r="G75" s="33"/>
      <c r="H75" s="33"/>
      <c r="I75" s="11"/>
    </row>
    <row r="76" spans="1:9" x14ac:dyDescent="0.35">
      <c r="A76" s="17"/>
      <c r="B76" s="7" t="s">
        <v>150</v>
      </c>
      <c r="C76" s="17"/>
      <c r="D76" s="18"/>
      <c r="E76" s="29" t="s">
        <v>152</v>
      </c>
      <c r="F76" s="20" t="s">
        <v>152</v>
      </c>
      <c r="G76" s="34"/>
      <c r="H76" s="35"/>
      <c r="I76" s="11"/>
    </row>
    <row r="77" spans="1:9" x14ac:dyDescent="0.35">
      <c r="A77" s="17"/>
      <c r="B77" s="7" t="s">
        <v>160</v>
      </c>
      <c r="C77" s="17"/>
      <c r="D77" s="18"/>
      <c r="E77" s="12" t="s">
        <v>152</v>
      </c>
      <c r="F77" s="12" t="s">
        <v>152</v>
      </c>
      <c r="G77" s="34"/>
      <c r="H77" s="35"/>
      <c r="I77" s="11"/>
    </row>
    <row r="78" spans="1:9" x14ac:dyDescent="0.35">
      <c r="A78" s="17"/>
      <c r="B78" s="7" t="s">
        <v>150</v>
      </c>
      <c r="C78" s="17"/>
      <c r="D78" s="18"/>
      <c r="E78" s="29" t="s">
        <v>152</v>
      </c>
      <c r="F78" s="20" t="s">
        <v>152</v>
      </c>
      <c r="G78" s="30"/>
      <c r="H78" s="20"/>
      <c r="I78" s="11"/>
    </row>
    <row r="79" spans="1:9" x14ac:dyDescent="0.35">
      <c r="A79" s="17"/>
      <c r="B79" s="36" t="s">
        <v>155</v>
      </c>
      <c r="C79" s="17"/>
      <c r="D79" s="18"/>
      <c r="E79" s="29" t="s">
        <v>152</v>
      </c>
      <c r="F79" s="20" t="s">
        <v>152</v>
      </c>
      <c r="G79" s="30"/>
      <c r="H79" s="20"/>
      <c r="I79" s="11"/>
    </row>
    <row r="80" spans="1:9" x14ac:dyDescent="0.35">
      <c r="A80" s="17"/>
      <c r="B80" s="36"/>
      <c r="C80" s="17"/>
      <c r="D80" s="18"/>
      <c r="E80" s="29"/>
      <c r="F80" s="20"/>
      <c r="G80" s="30"/>
      <c r="H80" s="20"/>
      <c r="I80" s="11"/>
    </row>
    <row r="81" spans="1:9" x14ac:dyDescent="0.35">
      <c r="A81" s="17"/>
      <c r="B81" s="36" t="s">
        <v>161</v>
      </c>
      <c r="C81" s="17"/>
      <c r="D81" s="18"/>
      <c r="E81" s="29"/>
      <c r="F81" s="20"/>
      <c r="G81" s="30"/>
      <c r="H81" s="20"/>
      <c r="I81" s="11"/>
    </row>
    <row r="82" spans="1:9" x14ac:dyDescent="0.35">
      <c r="A82" s="17"/>
      <c r="B82" s="36" t="s">
        <v>155</v>
      </c>
      <c r="C82" s="17"/>
      <c r="D82" s="18"/>
      <c r="E82" s="29" t="s">
        <v>152</v>
      </c>
      <c r="F82" s="37" t="s">
        <v>152</v>
      </c>
      <c r="G82" s="30"/>
      <c r="H82" s="20"/>
      <c r="I82" s="11"/>
    </row>
    <row r="83" spans="1:9" x14ac:dyDescent="0.35">
      <c r="A83" s="31"/>
      <c r="B83" s="31"/>
      <c r="C83" s="31"/>
      <c r="D83" s="38"/>
      <c r="E83" s="38"/>
      <c r="F83" s="39"/>
      <c r="G83" s="33"/>
      <c r="H83" s="33"/>
      <c r="I83" s="11"/>
    </row>
    <row r="84" spans="1:9" x14ac:dyDescent="0.35">
      <c r="A84" s="17"/>
      <c r="B84" s="7" t="s">
        <v>162</v>
      </c>
      <c r="C84" s="17"/>
      <c r="D84" s="18"/>
      <c r="E84" s="40"/>
      <c r="F84" s="28"/>
      <c r="G84" s="30"/>
      <c r="H84" s="20"/>
      <c r="I84" s="11"/>
    </row>
    <row r="85" spans="1:9" x14ac:dyDescent="0.35">
      <c r="A85" s="6"/>
      <c r="B85" s="7" t="s">
        <v>163</v>
      </c>
      <c r="C85" s="6"/>
      <c r="D85" s="8"/>
      <c r="E85" s="19"/>
      <c r="F85" s="20"/>
      <c r="G85" s="10"/>
      <c r="H85" s="9"/>
      <c r="I85" s="11"/>
    </row>
    <row r="86" spans="1:9" x14ac:dyDescent="0.35">
      <c r="A86" s="6"/>
      <c r="B86" s="13" t="s">
        <v>164</v>
      </c>
      <c r="C86" s="6"/>
      <c r="D86" s="8"/>
      <c r="E86" s="41">
        <v>357.44362999999998</v>
      </c>
      <c r="F86" s="30">
        <v>4.7072295818187268E-2</v>
      </c>
      <c r="G86" s="10" t="s">
        <v>165</v>
      </c>
      <c r="H86" s="9"/>
      <c r="I86" s="11"/>
    </row>
    <row r="87" spans="1:9" x14ac:dyDescent="0.35">
      <c r="A87" s="6"/>
      <c r="B87" s="7" t="s">
        <v>150</v>
      </c>
      <c r="C87" s="6"/>
      <c r="D87" s="8"/>
      <c r="E87" s="19">
        <v>357.44362999999998</v>
      </c>
      <c r="F87" s="20">
        <v>4.7072295818187268E-2</v>
      </c>
      <c r="G87" s="10"/>
      <c r="H87" s="9"/>
      <c r="I87" s="11"/>
    </row>
    <row r="88" spans="1:9" x14ac:dyDescent="0.35">
      <c r="A88" s="6"/>
      <c r="B88" s="7" t="s">
        <v>166</v>
      </c>
      <c r="C88" s="6"/>
      <c r="D88" s="8"/>
      <c r="E88" s="19"/>
      <c r="F88" s="20"/>
      <c r="G88" s="10"/>
      <c r="H88" s="9"/>
      <c r="I88" s="11"/>
    </row>
    <row r="89" spans="1:9" x14ac:dyDescent="0.35">
      <c r="A89" s="6"/>
      <c r="B89" s="7" t="s">
        <v>150</v>
      </c>
      <c r="C89" s="6"/>
      <c r="D89" s="8"/>
      <c r="E89" s="19" t="s">
        <v>152</v>
      </c>
      <c r="F89" s="20" t="s">
        <v>152</v>
      </c>
      <c r="G89" s="10"/>
      <c r="H89" s="9"/>
      <c r="I89" s="11"/>
    </row>
    <row r="90" spans="1:9" x14ac:dyDescent="0.35">
      <c r="A90" s="17"/>
      <c r="B90" s="17" t="s">
        <v>155</v>
      </c>
      <c r="C90" s="17"/>
      <c r="D90" s="18"/>
      <c r="E90" s="19">
        <v>357.44362999999998</v>
      </c>
      <c r="F90" s="20">
        <v>4.7072295818187268E-2</v>
      </c>
      <c r="G90" s="30"/>
      <c r="H90" s="20"/>
      <c r="I90" s="11"/>
    </row>
    <row r="91" spans="1:9" x14ac:dyDescent="0.35">
      <c r="A91" s="17"/>
      <c r="B91" s="17"/>
      <c r="C91" s="17"/>
      <c r="D91" s="18"/>
      <c r="E91" s="19"/>
      <c r="F91" s="20"/>
      <c r="G91" s="30"/>
      <c r="H91" s="20"/>
      <c r="I91" s="11"/>
    </row>
    <row r="92" spans="1:9" x14ac:dyDescent="0.35">
      <c r="A92" s="17"/>
      <c r="B92" s="17" t="s">
        <v>167</v>
      </c>
      <c r="C92" s="17"/>
      <c r="D92" s="18"/>
      <c r="E92" s="19"/>
      <c r="F92" s="20"/>
      <c r="G92" s="30"/>
      <c r="H92" s="20"/>
      <c r="I92" s="11"/>
    </row>
    <row r="93" spans="1:9" x14ac:dyDescent="0.35">
      <c r="A93" s="17"/>
      <c r="B93" s="17" t="s">
        <v>155</v>
      </c>
      <c r="C93" s="17"/>
      <c r="D93" s="18"/>
      <c r="E93" s="19" t="s">
        <v>152</v>
      </c>
      <c r="F93" s="20" t="s">
        <v>152</v>
      </c>
      <c r="G93" s="30"/>
      <c r="H93" s="20"/>
      <c r="I93" s="11"/>
    </row>
    <row r="94" spans="1:9" x14ac:dyDescent="0.35">
      <c r="A94" s="17"/>
      <c r="B94" s="17"/>
      <c r="C94" s="17"/>
      <c r="D94" s="18"/>
      <c r="E94" s="19"/>
      <c r="F94" s="20"/>
      <c r="G94" s="30"/>
      <c r="H94" s="20"/>
      <c r="I94" s="11"/>
    </row>
    <row r="95" spans="1:9" x14ac:dyDescent="0.35">
      <c r="A95" s="17"/>
      <c r="B95" s="17"/>
      <c r="C95" s="17"/>
      <c r="D95" s="18"/>
      <c r="E95" s="18"/>
      <c r="F95" s="28"/>
      <c r="G95" s="30"/>
      <c r="H95" s="20"/>
      <c r="I95" s="11"/>
    </row>
    <row r="96" spans="1:9" x14ac:dyDescent="0.35">
      <c r="A96" s="17"/>
      <c r="B96" s="42" t="s">
        <v>168</v>
      </c>
      <c r="C96" s="17"/>
      <c r="D96" s="18"/>
      <c r="E96" s="18"/>
      <c r="F96" s="28"/>
      <c r="G96" s="30"/>
      <c r="H96" s="20"/>
      <c r="I96" s="11"/>
    </row>
    <row r="97" spans="1:9" x14ac:dyDescent="0.35">
      <c r="A97" s="6"/>
      <c r="B97" s="42" t="s">
        <v>169</v>
      </c>
      <c r="C97" s="6"/>
      <c r="D97" s="8"/>
      <c r="E97" s="8">
        <v>200.52099850000201</v>
      </c>
      <c r="F97" s="30">
        <v>2.6406915571975428E-2</v>
      </c>
      <c r="G97" s="30"/>
      <c r="H97" s="30"/>
      <c r="I97" s="11"/>
    </row>
    <row r="98" spans="1:9" x14ac:dyDescent="0.35">
      <c r="A98" s="17"/>
      <c r="B98" s="42" t="s">
        <v>155</v>
      </c>
      <c r="C98" s="17"/>
      <c r="D98" s="18"/>
      <c r="E98" s="18">
        <f>E97</f>
        <v>200.52099850000201</v>
      </c>
      <c r="F98" s="43">
        <f>F97</f>
        <v>2.6406915571975428E-2</v>
      </c>
      <c r="G98" s="44"/>
      <c r="H98" s="45"/>
      <c r="I98" s="11"/>
    </row>
    <row r="99" spans="1:9" x14ac:dyDescent="0.35">
      <c r="A99" s="46"/>
      <c r="B99" s="42" t="s">
        <v>170</v>
      </c>
      <c r="C99" s="46"/>
      <c r="D99" s="46"/>
      <c r="E99" s="18">
        <v>7593.5032228</v>
      </c>
      <c r="F99" s="20">
        <v>1</v>
      </c>
      <c r="G99" s="47"/>
      <c r="H99" s="46"/>
      <c r="I99" s="11"/>
    </row>
    <row r="100" spans="1:9" x14ac:dyDescent="0.35">
      <c r="A100" s="48"/>
      <c r="B100" s="49"/>
      <c r="C100" s="48"/>
      <c r="D100" s="48"/>
      <c r="E100" s="48"/>
      <c r="F100" s="48"/>
      <c r="G100" s="48"/>
      <c r="H100" s="48"/>
      <c r="I100" s="48"/>
    </row>
    <row r="101" spans="1:9" x14ac:dyDescent="0.35">
      <c r="A101" s="48"/>
      <c r="B101" s="48"/>
      <c r="C101" s="48"/>
      <c r="D101" s="48"/>
      <c r="E101" s="48"/>
      <c r="F101" s="48"/>
      <c r="G101" s="48"/>
      <c r="H101" s="48"/>
      <c r="I101" s="48"/>
    </row>
    <row r="102" spans="1:9" s="55" customFormat="1" x14ac:dyDescent="0.35">
      <c r="A102" s="50" t="s">
        <v>171</v>
      </c>
      <c r="B102" s="51"/>
      <c r="C102" s="51"/>
      <c r="D102" s="51"/>
      <c r="E102" s="52"/>
      <c r="F102" s="52"/>
      <c r="G102" s="53"/>
      <c r="H102" s="51"/>
      <c r="I102" s="54"/>
    </row>
    <row r="103" spans="1:9" s="55" customFormat="1" ht="12.9" customHeight="1" x14ac:dyDescent="0.35">
      <c r="A103" s="56"/>
      <c r="B103" s="56" t="s">
        <v>172</v>
      </c>
      <c r="C103" s="57"/>
      <c r="D103" s="57"/>
      <c r="E103" s="58"/>
      <c r="F103" s="59"/>
      <c r="G103" s="58"/>
      <c r="H103" s="58"/>
      <c r="I103" s="51"/>
    </row>
    <row r="104" spans="1:9" s="55" customFormat="1" x14ac:dyDescent="0.35">
      <c r="A104" s="48"/>
      <c r="B104" s="56" t="s">
        <v>173</v>
      </c>
      <c r="C104" s="51"/>
      <c r="D104" s="60" t="s">
        <v>174</v>
      </c>
      <c r="E104" s="60" t="s">
        <v>175</v>
      </c>
      <c r="F104" s="52"/>
      <c r="G104" s="53"/>
      <c r="H104" s="51"/>
      <c r="I104" s="54"/>
    </row>
    <row r="105" spans="1:9" s="55" customFormat="1" x14ac:dyDescent="0.35">
      <c r="A105" s="61">
        <v>153892</v>
      </c>
      <c r="B105" s="51" t="s">
        <v>176</v>
      </c>
      <c r="C105" s="62" t="s">
        <v>177</v>
      </c>
      <c r="D105" s="63">
        <v>10.276199999999999</v>
      </c>
      <c r="E105" s="62">
        <v>10.702</v>
      </c>
      <c r="F105" s="52"/>
      <c r="G105" s="53"/>
      <c r="H105" s="51"/>
      <c r="I105" s="54"/>
    </row>
    <row r="106" spans="1:9" s="55" customFormat="1" x14ac:dyDescent="0.35">
      <c r="A106" s="61">
        <v>153891</v>
      </c>
      <c r="B106" s="51" t="s">
        <v>178</v>
      </c>
      <c r="C106" s="62" t="s">
        <v>177</v>
      </c>
      <c r="D106" s="63">
        <v>10.383800000000001</v>
      </c>
      <c r="E106" s="62">
        <v>10.777799999999999</v>
      </c>
      <c r="F106" s="52"/>
      <c r="G106" s="53"/>
      <c r="H106" s="51"/>
      <c r="I106" s="54"/>
    </row>
    <row r="107" spans="1:9" s="55" customFormat="1" x14ac:dyDescent="0.35">
      <c r="A107" s="61">
        <v>153893</v>
      </c>
      <c r="B107" s="51" t="s">
        <v>179</v>
      </c>
      <c r="C107" s="62" t="s">
        <v>177</v>
      </c>
      <c r="D107" s="63">
        <v>10.361000000000001</v>
      </c>
      <c r="E107" s="62">
        <v>10.754200000000001</v>
      </c>
      <c r="F107" s="52"/>
      <c r="G107" s="53"/>
      <c r="H107" s="51"/>
      <c r="I107" s="54"/>
    </row>
    <row r="108" spans="1:9" s="55" customFormat="1" x14ac:dyDescent="0.35">
      <c r="A108" s="61">
        <v>153894</v>
      </c>
      <c r="B108" s="51" t="s">
        <v>180</v>
      </c>
      <c r="C108" s="62" t="s">
        <v>177</v>
      </c>
      <c r="D108" s="63">
        <v>10.276899999999999</v>
      </c>
      <c r="E108" s="62">
        <v>10.7029</v>
      </c>
      <c r="F108" s="52"/>
      <c r="G108" s="53"/>
      <c r="H108" s="51"/>
      <c r="I108" s="54"/>
    </row>
    <row r="109" spans="1:9" s="55" customFormat="1" x14ac:dyDescent="0.35">
      <c r="A109" s="61"/>
      <c r="B109" s="51"/>
      <c r="C109" s="62"/>
      <c r="D109" s="62"/>
      <c r="E109" s="63"/>
      <c r="F109" s="52"/>
      <c r="G109" s="53"/>
      <c r="H109" s="51"/>
      <c r="I109" s="54"/>
    </row>
    <row r="110" spans="1:9" s="55" customFormat="1" x14ac:dyDescent="0.35">
      <c r="A110" s="51"/>
      <c r="B110" s="64" t="s">
        <v>181</v>
      </c>
      <c r="C110" s="51"/>
      <c r="D110" s="51"/>
      <c r="E110" s="52"/>
      <c r="F110" s="52"/>
      <c r="G110" s="53"/>
      <c r="H110" s="51"/>
      <c r="I110" s="54"/>
    </row>
    <row r="111" spans="1:9" s="55" customFormat="1" x14ac:dyDescent="0.35">
      <c r="A111" s="51"/>
      <c r="B111" s="64"/>
      <c r="C111" s="51"/>
      <c r="D111" s="51"/>
      <c r="E111" s="52"/>
      <c r="F111" s="52"/>
      <c r="G111" s="53"/>
      <c r="H111" s="51"/>
      <c r="I111" s="54"/>
    </row>
    <row r="112" spans="1:9" s="55" customFormat="1" x14ac:dyDescent="0.35">
      <c r="A112" s="51"/>
      <c r="B112" s="51" t="s">
        <v>182</v>
      </c>
      <c r="C112" s="51"/>
      <c r="D112" s="51"/>
      <c r="E112" s="52"/>
      <c r="F112" s="52"/>
      <c r="G112" s="53"/>
      <c r="H112" s="51"/>
      <c r="I112" s="54"/>
    </row>
    <row r="113" spans="1:9" s="55" customFormat="1" x14ac:dyDescent="0.35">
      <c r="A113" s="51"/>
      <c r="B113" s="51"/>
      <c r="C113" s="51"/>
      <c r="D113" s="51"/>
      <c r="E113" s="52"/>
      <c r="F113" s="52"/>
      <c r="G113" s="53"/>
      <c r="H113" s="51"/>
      <c r="I113" s="54"/>
    </row>
    <row r="114" spans="1:9" s="55" customFormat="1" x14ac:dyDescent="0.35">
      <c r="A114" s="51"/>
      <c r="B114" s="51" t="s">
        <v>183</v>
      </c>
      <c r="C114" s="51"/>
      <c r="D114" s="51"/>
      <c r="E114" s="51"/>
      <c r="F114" s="52"/>
      <c r="G114" s="52"/>
      <c r="H114" s="53"/>
      <c r="I114" s="51"/>
    </row>
    <row r="115" spans="1:9" s="55" customFormat="1" x14ac:dyDescent="0.35">
      <c r="A115" s="51"/>
      <c r="B115" s="51"/>
      <c r="C115" s="65"/>
      <c r="D115" s="66"/>
      <c r="E115" s="51"/>
      <c r="F115" s="52"/>
      <c r="G115" s="52"/>
      <c r="H115" s="53"/>
      <c r="I115" s="51"/>
    </row>
    <row r="116" spans="1:9" s="55" customFormat="1" x14ac:dyDescent="0.35">
      <c r="A116" s="51"/>
      <c r="B116" s="65" t="s">
        <v>184</v>
      </c>
      <c r="C116" s="65"/>
      <c r="D116" s="67"/>
      <c r="E116" s="51"/>
      <c r="F116" s="52"/>
      <c r="G116" s="52"/>
      <c r="H116" s="53"/>
      <c r="I116" s="51"/>
    </row>
    <row r="117" spans="1:9" s="55" customFormat="1" x14ac:dyDescent="0.35">
      <c r="A117" s="51"/>
      <c r="B117" s="51"/>
      <c r="C117" s="65"/>
      <c r="D117" s="67"/>
      <c r="E117" s="51"/>
      <c r="F117" s="52"/>
      <c r="G117" s="52"/>
      <c r="H117" s="53"/>
      <c r="I117" s="51"/>
    </row>
    <row r="118" spans="1:9" s="55" customFormat="1" x14ac:dyDescent="0.35">
      <c r="A118" s="51"/>
      <c r="B118" s="51" t="s">
        <v>185</v>
      </c>
      <c r="C118" s="65"/>
      <c r="D118" s="67"/>
      <c r="E118" s="51"/>
      <c r="F118" s="52"/>
      <c r="G118" s="52"/>
      <c r="H118" s="53"/>
      <c r="I118" s="51"/>
    </row>
    <row r="119" spans="1:9" s="55" customFormat="1" x14ac:dyDescent="0.35">
      <c r="A119" s="51"/>
      <c r="B119" s="51"/>
      <c r="C119" s="65"/>
      <c r="D119" s="67"/>
      <c r="E119" s="51"/>
      <c r="F119" s="52"/>
      <c r="G119" s="52"/>
      <c r="H119" s="53"/>
      <c r="I119" s="51"/>
    </row>
    <row r="120" spans="1:9" s="55" customFormat="1" x14ac:dyDescent="0.35">
      <c r="A120" s="51"/>
      <c r="B120" s="51" t="s">
        <v>186</v>
      </c>
      <c r="C120" s="56"/>
      <c r="D120" s="56"/>
      <c r="E120" s="51"/>
      <c r="F120" s="52"/>
      <c r="G120" s="52"/>
      <c r="H120" s="53"/>
      <c r="I120" s="51"/>
    </row>
    <row r="121" spans="1:9" s="55" customFormat="1" x14ac:dyDescent="0.35">
      <c r="A121" s="51"/>
      <c r="B121" s="51"/>
      <c r="C121" s="56"/>
      <c r="D121" s="56"/>
      <c r="E121" s="51"/>
      <c r="F121" s="52"/>
      <c r="G121" s="52"/>
      <c r="H121" s="53"/>
      <c r="I121" s="51"/>
    </row>
    <row r="122" spans="1:9" s="55" customFormat="1" x14ac:dyDescent="0.35">
      <c r="A122" s="51"/>
      <c r="B122" s="51" t="s">
        <v>187</v>
      </c>
      <c r="C122" s="56"/>
      <c r="D122" s="56"/>
      <c r="E122" s="51"/>
      <c r="F122" s="52"/>
      <c r="G122" s="52"/>
      <c r="H122" s="53"/>
      <c r="I122" s="51"/>
    </row>
    <row r="123" spans="1:9" s="55" customFormat="1" x14ac:dyDescent="0.35">
      <c r="A123" s="51"/>
      <c r="B123" s="51"/>
      <c r="C123" s="56"/>
      <c r="D123" s="56"/>
      <c r="E123" s="51"/>
      <c r="F123" s="52"/>
      <c r="G123" s="52"/>
      <c r="H123" s="53"/>
      <c r="I123" s="51"/>
    </row>
    <row r="124" spans="1:9" s="55" customFormat="1" x14ac:dyDescent="0.35">
      <c r="A124" s="51"/>
      <c r="B124" s="51" t="s">
        <v>188</v>
      </c>
      <c r="C124" s="56"/>
      <c r="D124" s="56"/>
      <c r="E124" s="51"/>
      <c r="F124" s="52"/>
      <c r="G124" s="52"/>
      <c r="H124" s="53"/>
      <c r="I124" s="51"/>
    </row>
    <row r="125" spans="1:9" s="55" customFormat="1" x14ac:dyDescent="0.35">
      <c r="A125" s="51"/>
      <c r="B125" s="51"/>
      <c r="C125" s="56"/>
      <c r="D125" s="56"/>
      <c r="E125" s="51"/>
      <c r="F125" s="52"/>
      <c r="G125" s="52"/>
      <c r="H125" s="53"/>
      <c r="I125" s="51"/>
    </row>
    <row r="126" spans="1:9" s="55" customFormat="1" x14ac:dyDescent="0.35">
      <c r="A126" s="51"/>
      <c r="B126" s="51" t="s">
        <v>189</v>
      </c>
      <c r="C126" s="65"/>
      <c r="D126" s="68"/>
      <c r="E126" s="51"/>
      <c r="F126" s="52"/>
      <c r="G126" s="52"/>
      <c r="H126" s="53"/>
      <c r="I126" s="51"/>
    </row>
    <row r="127" spans="1:9" s="55" customFormat="1" x14ac:dyDescent="0.35">
      <c r="A127" s="51"/>
      <c r="B127" s="51"/>
      <c r="C127" s="65"/>
      <c r="D127" s="67"/>
      <c r="E127" s="51"/>
      <c r="F127" s="52"/>
      <c r="G127" s="52"/>
      <c r="H127" s="53"/>
      <c r="I127" s="51"/>
    </row>
    <row r="128" spans="1:9" s="55" customFormat="1" x14ac:dyDescent="0.35">
      <c r="A128" s="51"/>
      <c r="B128" s="51" t="s">
        <v>190</v>
      </c>
      <c r="C128" s="65"/>
      <c r="D128" s="67"/>
      <c r="E128" s="51"/>
      <c r="F128" s="52"/>
      <c r="G128" s="52"/>
      <c r="H128" s="53"/>
      <c r="I128" s="51"/>
    </row>
    <row r="129" spans="1:9" s="55" customFormat="1" x14ac:dyDescent="0.35">
      <c r="A129" s="51"/>
      <c r="B129" s="51"/>
      <c r="C129" s="65"/>
      <c r="D129" s="67"/>
      <c r="E129" s="51"/>
      <c r="F129" s="52"/>
      <c r="G129" s="52"/>
      <c r="H129" s="53"/>
      <c r="I129" s="51"/>
    </row>
    <row r="130" spans="1:9" s="55" customFormat="1" x14ac:dyDescent="0.35">
      <c r="A130" s="51"/>
      <c r="B130" s="51" t="s">
        <v>191</v>
      </c>
      <c r="C130" s="65"/>
      <c r="D130" s="67"/>
      <c r="E130" s="51"/>
      <c r="F130" s="52"/>
      <c r="G130" s="52"/>
      <c r="H130" s="53"/>
      <c r="I130" s="51"/>
    </row>
    <row r="131" spans="1:9" s="55" customFormat="1" x14ac:dyDescent="0.35">
      <c r="A131" s="69"/>
      <c r="B131" s="64"/>
      <c r="C131" s="70"/>
      <c r="D131" s="71"/>
      <c r="E131" s="52"/>
      <c r="F131" s="52"/>
      <c r="G131" s="53"/>
      <c r="H131" s="51"/>
      <c r="I131" s="54"/>
    </row>
    <row r="132" spans="1:9" s="72" customFormat="1" x14ac:dyDescent="0.35">
      <c r="A132" s="48"/>
      <c r="B132" s="57" t="s">
        <v>192</v>
      </c>
      <c r="C132" s="48"/>
      <c r="D132" s="48"/>
      <c r="E132" s="48"/>
      <c r="F132" s="48"/>
      <c r="G132" s="48"/>
      <c r="H132" s="48"/>
      <c r="I132" s="48"/>
    </row>
    <row r="133" spans="1:9" s="72" customFormat="1" ht="36.5" customHeight="1" x14ac:dyDescent="0.35">
      <c r="A133" s="48"/>
      <c r="B133" s="113" t="s">
        <v>193</v>
      </c>
      <c r="C133" s="114"/>
      <c r="D133" s="114"/>
      <c r="E133" s="114"/>
      <c r="F133" s="114"/>
      <c r="G133" s="114"/>
      <c r="H133" s="48"/>
      <c r="I133" s="48"/>
    </row>
    <row r="134" spans="1:9" s="72" customFormat="1" x14ac:dyDescent="0.35">
      <c r="A134" s="48"/>
      <c r="B134" s="73" t="s">
        <v>194</v>
      </c>
      <c r="C134" s="48"/>
      <c r="D134" s="48"/>
      <c r="E134" s="48"/>
      <c r="F134" s="48"/>
      <c r="G134" s="48"/>
      <c r="H134" s="48"/>
      <c r="I134" s="48"/>
    </row>
    <row r="135" spans="1:9" s="72" customFormat="1" ht="77" customHeight="1" x14ac:dyDescent="0.35">
      <c r="A135" s="48"/>
      <c r="B135" s="115" t="s">
        <v>195</v>
      </c>
      <c r="C135" s="114"/>
      <c r="D135" s="114"/>
      <c r="E135" s="114"/>
      <c r="F135" s="114"/>
      <c r="G135" s="114"/>
      <c r="H135" s="48"/>
      <c r="I135" s="48"/>
    </row>
    <row r="136" spans="1:9" s="72" customFormat="1" x14ac:dyDescent="0.35">
      <c r="A136" s="48"/>
      <c r="B136" s="48"/>
      <c r="C136" s="48"/>
      <c r="D136" s="48"/>
      <c r="E136" s="48"/>
      <c r="F136" s="48"/>
      <c r="G136" s="48"/>
      <c r="H136" s="48"/>
      <c r="I136" s="48"/>
    </row>
    <row r="137" spans="1:9" s="72" customFormat="1" x14ac:dyDescent="0.35">
      <c r="A137" s="48"/>
      <c r="B137" s="74" t="s">
        <v>231</v>
      </c>
      <c r="C137" s="48"/>
      <c r="D137" s="48"/>
      <c r="E137" s="48"/>
      <c r="F137" s="48"/>
      <c r="G137" s="48"/>
      <c r="H137" s="48"/>
      <c r="I137" s="48"/>
    </row>
    <row r="138" spans="1:9" s="72" customFormat="1" x14ac:dyDescent="0.35">
      <c r="A138" s="48"/>
      <c r="B138" s="48"/>
      <c r="C138" s="48"/>
      <c r="D138" s="48"/>
      <c r="E138" s="48"/>
      <c r="F138" s="48"/>
      <c r="G138" s="48"/>
      <c r="H138" s="48"/>
      <c r="I138" s="48"/>
    </row>
    <row r="139" spans="1:9" s="72" customFormat="1" ht="43.5" x14ac:dyDescent="0.35">
      <c r="A139" s="48"/>
      <c r="B139" s="75" t="s">
        <v>196</v>
      </c>
      <c r="C139" s="76" t="s">
        <v>197</v>
      </c>
      <c r="D139" s="76" t="s">
        <v>198</v>
      </c>
      <c r="E139" s="77" t="s">
        <v>199</v>
      </c>
      <c r="F139" s="78" t="s">
        <v>200</v>
      </c>
      <c r="G139" s="79"/>
      <c r="H139" s="48"/>
      <c r="I139" s="48"/>
    </row>
    <row r="140" spans="1:9" s="72" customFormat="1" ht="24.65" customHeight="1" x14ac:dyDescent="0.35">
      <c r="A140" s="48"/>
      <c r="B140" s="80" t="s">
        <v>201</v>
      </c>
      <c r="C140" s="80" t="s">
        <v>202</v>
      </c>
      <c r="D140" s="81">
        <v>859.995</v>
      </c>
      <c r="E140" s="82">
        <v>851.65</v>
      </c>
      <c r="F140" s="103">
        <v>7.72</v>
      </c>
      <c r="G140" s="79"/>
      <c r="H140" s="48"/>
      <c r="I140" s="48"/>
    </row>
    <row r="141" spans="1:9" s="72" customFormat="1" ht="24.65" customHeight="1" x14ac:dyDescent="0.35">
      <c r="A141" s="48"/>
      <c r="B141" s="80" t="s">
        <v>203</v>
      </c>
      <c r="C141" s="80" t="s">
        <v>202</v>
      </c>
      <c r="D141" s="81">
        <v>961</v>
      </c>
      <c r="E141" s="82">
        <v>967.2</v>
      </c>
      <c r="F141" s="103">
        <v>25.77</v>
      </c>
      <c r="G141" s="48"/>
      <c r="H141" s="48"/>
      <c r="I141" s="48"/>
    </row>
    <row r="142" spans="1:9" s="72" customFormat="1" x14ac:dyDescent="0.35">
      <c r="A142" s="48"/>
      <c r="B142" s="48"/>
      <c r="C142" s="48"/>
      <c r="D142" s="48"/>
      <c r="E142" s="48"/>
      <c r="F142" s="48"/>
      <c r="G142" s="48"/>
      <c r="H142" s="48"/>
      <c r="I142" s="48"/>
    </row>
    <row r="143" spans="1:9" s="72" customFormat="1" x14ac:dyDescent="0.35">
      <c r="A143" s="48"/>
      <c r="B143" s="48"/>
      <c r="C143" s="48"/>
      <c r="D143" s="48"/>
      <c r="E143" s="48"/>
      <c r="F143" s="48"/>
      <c r="G143" s="48"/>
      <c r="H143" s="48"/>
      <c r="I143" s="48"/>
    </row>
    <row r="144" spans="1:9" s="72" customFormat="1" x14ac:dyDescent="0.35">
      <c r="A144" s="48"/>
      <c r="B144" s="74" t="s">
        <v>204</v>
      </c>
      <c r="C144" s="48"/>
      <c r="D144" s="48"/>
      <c r="E144" s="48"/>
      <c r="F144" s="48"/>
      <c r="G144" s="48"/>
      <c r="H144" s="48"/>
      <c r="I144" s="48"/>
    </row>
    <row r="145" spans="1:9" s="72" customFormat="1" x14ac:dyDescent="0.35">
      <c r="A145" s="48"/>
      <c r="B145" s="48"/>
      <c r="C145" s="48"/>
      <c r="D145" s="48"/>
      <c r="E145" s="48"/>
      <c r="F145" s="48"/>
      <c r="G145" s="48"/>
      <c r="H145" s="48"/>
      <c r="I145" s="48"/>
    </row>
    <row r="146" spans="1:9" s="72" customFormat="1" ht="29" x14ac:dyDescent="0.35">
      <c r="A146" s="48"/>
      <c r="B146" s="75" t="s">
        <v>3</v>
      </c>
      <c r="C146" s="76" t="s">
        <v>197</v>
      </c>
      <c r="D146" s="76" t="s">
        <v>5</v>
      </c>
      <c r="E146" s="77" t="s">
        <v>6</v>
      </c>
      <c r="F146" s="83" t="s">
        <v>7</v>
      </c>
      <c r="G146" s="48"/>
      <c r="H146" s="48"/>
      <c r="I146" s="48"/>
    </row>
    <row r="147" spans="1:9" s="72" customFormat="1" x14ac:dyDescent="0.35">
      <c r="A147" s="48"/>
      <c r="B147" s="80" t="s">
        <v>201</v>
      </c>
      <c r="C147" s="80" t="s">
        <v>202</v>
      </c>
      <c r="D147" s="84">
        <v>5000</v>
      </c>
      <c r="E147" s="82">
        <v>42.582500000000003</v>
      </c>
      <c r="F147" s="85">
        <v>0.56077500000000002</v>
      </c>
      <c r="G147" s="48"/>
      <c r="H147" s="48"/>
      <c r="I147" s="48"/>
    </row>
    <row r="148" spans="1:9" s="72" customFormat="1" x14ac:dyDescent="0.35">
      <c r="A148" s="48"/>
      <c r="B148" s="80" t="s">
        <v>203</v>
      </c>
      <c r="C148" s="80" t="s">
        <v>202</v>
      </c>
      <c r="D148" s="84">
        <v>15000</v>
      </c>
      <c r="E148" s="82">
        <v>145.08000000000001</v>
      </c>
      <c r="F148" s="85">
        <v>1.9105810000000001</v>
      </c>
      <c r="G148" s="48"/>
      <c r="H148" s="48"/>
      <c r="I148" s="48"/>
    </row>
    <row r="149" spans="1:9" s="72" customFormat="1" x14ac:dyDescent="0.35">
      <c r="A149" s="48"/>
      <c r="B149" s="48"/>
      <c r="C149" s="48"/>
      <c r="D149" s="48"/>
      <c r="E149" s="48"/>
      <c r="F149" s="48"/>
      <c r="G149" s="48"/>
      <c r="H149" s="48"/>
      <c r="I149" s="48"/>
    </row>
    <row r="150" spans="1:9" s="72" customFormat="1" x14ac:dyDescent="0.35">
      <c r="A150" s="48"/>
      <c r="B150" s="111" t="s">
        <v>205</v>
      </c>
      <c r="C150" s="111"/>
      <c r="D150" s="86"/>
      <c r="E150" s="87"/>
      <c r="F150" s="48"/>
      <c r="G150" s="48"/>
      <c r="H150" s="48"/>
      <c r="I150" s="48"/>
    </row>
    <row r="151" spans="1:9" s="72" customFormat="1" x14ac:dyDescent="0.35">
      <c r="A151" s="48"/>
      <c r="B151" s="88" t="s">
        <v>206</v>
      </c>
      <c r="C151" s="88"/>
      <c r="D151" s="88"/>
      <c r="E151" s="88"/>
      <c r="F151" s="48"/>
      <c r="G151" s="48"/>
      <c r="H151" s="48"/>
      <c r="I151" s="48"/>
    </row>
    <row r="152" spans="1:9" s="72" customFormat="1" x14ac:dyDescent="0.35">
      <c r="A152" s="48"/>
      <c r="B152" s="89" t="s">
        <v>207</v>
      </c>
      <c r="C152" s="90"/>
      <c r="D152" s="91"/>
      <c r="E152" s="92">
        <v>0</v>
      </c>
      <c r="F152" s="48"/>
      <c r="G152" s="48"/>
      <c r="H152" s="48"/>
      <c r="I152" s="48"/>
    </row>
    <row r="153" spans="1:9" s="72" customFormat="1" x14ac:dyDescent="0.35">
      <c r="A153" s="48"/>
      <c r="B153" s="89" t="s">
        <v>208</v>
      </c>
      <c r="C153" s="90"/>
      <c r="D153" s="91"/>
      <c r="E153" s="92">
        <v>0</v>
      </c>
      <c r="F153" s="48"/>
      <c r="G153" s="48"/>
      <c r="H153" s="48"/>
      <c r="I153" s="48"/>
    </row>
    <row r="154" spans="1:9" s="72" customFormat="1" x14ac:dyDescent="0.35">
      <c r="A154" s="48"/>
      <c r="B154" s="89" t="s">
        <v>209</v>
      </c>
      <c r="C154" s="90"/>
      <c r="D154" s="91"/>
      <c r="E154" s="92">
        <v>0</v>
      </c>
      <c r="F154" s="48"/>
      <c r="G154" s="48"/>
      <c r="H154" s="48"/>
      <c r="I154" s="48"/>
    </row>
    <row r="155" spans="1:9" s="72" customFormat="1" x14ac:dyDescent="0.35">
      <c r="A155" s="48"/>
      <c r="B155" s="89" t="s">
        <v>210</v>
      </c>
      <c r="C155" s="90"/>
      <c r="D155" s="91"/>
      <c r="E155" s="92">
        <v>0</v>
      </c>
      <c r="F155" s="48"/>
      <c r="G155" s="48"/>
      <c r="H155" s="48"/>
      <c r="I155" s="48"/>
    </row>
    <row r="156" spans="1:9" s="72" customFormat="1" x14ac:dyDescent="0.35">
      <c r="A156" s="48"/>
      <c r="B156" s="89" t="s">
        <v>211</v>
      </c>
      <c r="C156" s="90"/>
      <c r="D156" s="91"/>
      <c r="E156" s="92">
        <v>0</v>
      </c>
      <c r="F156" s="48"/>
      <c r="G156" s="48"/>
      <c r="H156" s="48"/>
      <c r="I156" s="48"/>
    </row>
    <row r="157" spans="1:9" s="72" customFormat="1" x14ac:dyDescent="0.35">
      <c r="A157" s="48"/>
      <c r="B157" s="93"/>
      <c r="C157" s="94"/>
      <c r="D157" s="95"/>
      <c r="E157" s="95"/>
      <c r="F157" s="48"/>
      <c r="G157" s="48"/>
      <c r="H157" s="48"/>
      <c r="I157" s="48"/>
    </row>
    <row r="158" spans="1:9" s="72" customFormat="1" x14ac:dyDescent="0.35">
      <c r="A158" s="48"/>
      <c r="B158" s="96" t="s">
        <v>212</v>
      </c>
      <c r="C158" s="96"/>
      <c r="D158" s="50"/>
      <c r="E158" s="95"/>
      <c r="F158" s="48"/>
      <c r="G158" s="48"/>
      <c r="H158" s="48"/>
      <c r="I158" s="48"/>
    </row>
    <row r="159" spans="1:9" s="72" customFormat="1" x14ac:dyDescent="0.35">
      <c r="A159" s="48"/>
      <c r="B159" s="97" t="s">
        <v>213</v>
      </c>
      <c r="C159" s="98"/>
      <c r="D159" s="99"/>
      <c r="E159" s="100"/>
      <c r="F159" s="48"/>
      <c r="G159" s="48"/>
      <c r="H159" s="48"/>
      <c r="I159" s="48"/>
    </row>
    <row r="160" spans="1:9" s="72" customFormat="1" x14ac:dyDescent="0.35">
      <c r="A160" s="48"/>
      <c r="B160" s="89" t="s">
        <v>207</v>
      </c>
      <c r="C160" s="90"/>
      <c r="D160" s="91"/>
      <c r="E160" s="92">
        <v>37</v>
      </c>
      <c r="F160" s="48"/>
      <c r="G160" s="48"/>
      <c r="H160" s="48"/>
      <c r="I160" s="48"/>
    </row>
    <row r="161" spans="1:9" s="72" customFormat="1" x14ac:dyDescent="0.35">
      <c r="A161" s="48"/>
      <c r="B161" s="89" t="s">
        <v>208</v>
      </c>
      <c r="C161" s="90"/>
      <c r="D161" s="91"/>
      <c r="E161" s="92">
        <v>37</v>
      </c>
      <c r="F161" s="48"/>
      <c r="G161" s="48"/>
      <c r="H161" s="48"/>
      <c r="I161" s="48"/>
    </row>
    <row r="162" spans="1:9" s="72" customFormat="1" x14ac:dyDescent="0.35">
      <c r="A162" s="48"/>
      <c r="B162" s="89" t="s">
        <v>209</v>
      </c>
      <c r="C162" s="90"/>
      <c r="D162" s="91"/>
      <c r="E162" s="101">
        <v>250.39699999999999</v>
      </c>
      <c r="F162" s="48"/>
      <c r="G162" s="48"/>
      <c r="H162" s="48"/>
      <c r="I162" s="48"/>
    </row>
    <row r="163" spans="1:9" s="72" customFormat="1" x14ac:dyDescent="0.35">
      <c r="A163" s="48"/>
      <c r="B163" s="89" t="s">
        <v>210</v>
      </c>
      <c r="C163" s="90"/>
      <c r="D163" s="91"/>
      <c r="E163" s="101">
        <v>249.87325000000001</v>
      </c>
      <c r="F163" s="48"/>
      <c r="G163" s="48"/>
      <c r="H163" s="48"/>
      <c r="I163" s="48"/>
    </row>
    <row r="164" spans="1:9" s="72" customFormat="1" x14ac:dyDescent="0.35">
      <c r="A164" s="48"/>
      <c r="B164" s="89" t="s">
        <v>211</v>
      </c>
      <c r="C164" s="90"/>
      <c r="D164" s="91"/>
      <c r="E164" s="102">
        <v>-18.569500000000001</v>
      </c>
      <c r="F164" s="48"/>
      <c r="G164" s="48"/>
      <c r="H164" s="48"/>
      <c r="I164" s="48"/>
    </row>
    <row r="165" spans="1:9" s="72" customFormat="1" x14ac:dyDescent="0.35">
      <c r="A165" s="48"/>
      <c r="B165" s="48"/>
      <c r="C165" s="48"/>
      <c r="D165" s="48"/>
      <c r="E165" s="48"/>
      <c r="F165" s="48"/>
      <c r="G165" s="48"/>
      <c r="H165" s="48"/>
      <c r="I165" s="48"/>
    </row>
    <row r="166" spans="1:9" s="72" customFormat="1" x14ac:dyDescent="0.35">
      <c r="A166" s="48"/>
      <c r="B166" s="74" t="s">
        <v>214</v>
      </c>
      <c r="C166" s="48"/>
      <c r="D166" s="48"/>
      <c r="E166" s="48"/>
      <c r="F166" s="48"/>
      <c r="G166" s="48"/>
      <c r="H166" s="48"/>
      <c r="I166" s="48"/>
    </row>
    <row r="167" spans="1:9" x14ac:dyDescent="0.35">
      <c r="A167" s="48"/>
      <c r="B167" s="48"/>
      <c r="C167" s="48"/>
      <c r="D167" s="48"/>
      <c r="E167" s="48"/>
      <c r="F167" s="48"/>
      <c r="G167" s="48"/>
      <c r="H167" s="48"/>
      <c r="I167" s="48"/>
    </row>
    <row r="168" spans="1:9" ht="29" x14ac:dyDescent="0.35">
      <c r="A168" s="48"/>
      <c r="B168" s="75" t="s">
        <v>196</v>
      </c>
      <c r="C168" s="76" t="s">
        <v>197</v>
      </c>
      <c r="D168" s="76" t="s">
        <v>215</v>
      </c>
      <c r="E168" s="77" t="s">
        <v>199</v>
      </c>
      <c r="F168" s="48"/>
      <c r="G168" s="48"/>
      <c r="H168" s="48"/>
      <c r="I168" s="48"/>
    </row>
    <row r="169" spans="1:9" s="72" customFormat="1" ht="24.65" customHeight="1" x14ac:dyDescent="0.35">
      <c r="A169" s="48"/>
      <c r="B169" s="81">
        <v>0</v>
      </c>
      <c r="C169" s="81">
        <v>0</v>
      </c>
      <c r="D169" s="81">
        <v>0</v>
      </c>
      <c r="E169" s="81">
        <v>0</v>
      </c>
      <c r="F169" s="79"/>
      <c r="G169" s="79"/>
      <c r="H169" s="48"/>
      <c r="I169" s="48"/>
    </row>
    <row r="170" spans="1:9" x14ac:dyDescent="0.35">
      <c r="A170" s="48"/>
      <c r="B170" s="48"/>
      <c r="C170" s="48"/>
      <c r="D170" s="48"/>
      <c r="E170" s="48"/>
      <c r="F170" s="48"/>
      <c r="G170" s="48"/>
      <c r="H170" s="48"/>
      <c r="I170" s="48"/>
    </row>
    <row r="171" spans="1:9" x14ac:dyDescent="0.35">
      <c r="A171" s="48"/>
      <c r="B171" s="111" t="s">
        <v>216</v>
      </c>
      <c r="C171" s="111"/>
      <c r="D171" s="86"/>
      <c r="E171" s="87"/>
      <c r="F171" s="48"/>
      <c r="G171" s="48"/>
      <c r="H171" s="48"/>
      <c r="I171" s="48"/>
    </row>
    <row r="172" spans="1:9" x14ac:dyDescent="0.35">
      <c r="A172" s="48"/>
      <c r="B172" s="88" t="s">
        <v>217</v>
      </c>
      <c r="C172" s="88"/>
      <c r="D172" s="88"/>
      <c r="E172" s="88"/>
      <c r="F172" s="48"/>
      <c r="G172" s="48"/>
      <c r="H172" s="48"/>
      <c r="I172" s="48"/>
    </row>
    <row r="173" spans="1:9" x14ac:dyDescent="0.35">
      <c r="A173" s="48"/>
      <c r="B173" s="89" t="s">
        <v>218</v>
      </c>
      <c r="C173" s="90"/>
      <c r="D173" s="91"/>
      <c r="E173" s="81">
        <v>0</v>
      </c>
      <c r="F173" s="48"/>
      <c r="G173" s="48"/>
      <c r="H173" s="48"/>
      <c r="I173" s="48"/>
    </row>
    <row r="174" spans="1:9" x14ac:dyDescent="0.35">
      <c r="A174" s="48"/>
      <c r="B174" s="89" t="s">
        <v>219</v>
      </c>
      <c r="C174" s="90"/>
      <c r="D174" s="91"/>
      <c r="E174" s="81">
        <v>0</v>
      </c>
      <c r="F174" s="48"/>
      <c r="G174" s="48"/>
      <c r="H174" s="48"/>
      <c r="I174" s="48"/>
    </row>
    <row r="175" spans="1:9" x14ac:dyDescent="0.35">
      <c r="A175" s="48"/>
      <c r="B175" s="89" t="s">
        <v>220</v>
      </c>
      <c r="C175" s="90"/>
      <c r="D175" s="91"/>
      <c r="E175" s="81">
        <v>0</v>
      </c>
      <c r="F175" s="48"/>
      <c r="G175" s="48"/>
      <c r="H175" s="48"/>
      <c r="I175" s="48"/>
    </row>
    <row r="176" spans="1:9" x14ac:dyDescent="0.35">
      <c r="A176" s="48"/>
      <c r="B176" s="89" t="s">
        <v>221</v>
      </c>
      <c r="C176" s="90"/>
      <c r="D176" s="91"/>
      <c r="E176" s="81">
        <v>0</v>
      </c>
      <c r="F176" s="48"/>
      <c r="G176" s="48"/>
      <c r="H176" s="48"/>
      <c r="I176" s="48"/>
    </row>
    <row r="177" spans="1:9" x14ac:dyDescent="0.35">
      <c r="A177" s="48"/>
      <c r="B177" s="89" t="s">
        <v>211</v>
      </c>
      <c r="C177" s="90"/>
      <c r="D177" s="91"/>
      <c r="E177" s="81">
        <v>0</v>
      </c>
      <c r="F177" s="48"/>
      <c r="G177" s="48"/>
      <c r="H177" s="48"/>
      <c r="I177" s="48"/>
    </row>
    <row r="178" spans="1:9" x14ac:dyDescent="0.35">
      <c r="A178" s="48"/>
      <c r="B178" s="48"/>
      <c r="C178" s="48"/>
      <c r="D178" s="48"/>
      <c r="E178" s="48"/>
      <c r="F178" s="48"/>
      <c r="G178" s="48"/>
      <c r="H178" s="48"/>
      <c r="I178" s="48"/>
    </row>
    <row r="179" spans="1:9" x14ac:dyDescent="0.35">
      <c r="A179" s="48"/>
      <c r="B179" s="96" t="s">
        <v>222</v>
      </c>
      <c r="C179" s="96"/>
      <c r="D179" s="50"/>
      <c r="E179" s="95"/>
      <c r="F179" s="48"/>
      <c r="G179" s="48"/>
      <c r="H179" s="48"/>
      <c r="I179" s="48"/>
    </row>
    <row r="180" spans="1:9" x14ac:dyDescent="0.35">
      <c r="A180" s="48"/>
      <c r="B180" s="97" t="s">
        <v>223</v>
      </c>
      <c r="C180" s="98"/>
      <c r="D180" s="99"/>
      <c r="E180" s="100"/>
      <c r="F180" s="48"/>
      <c r="G180" s="48"/>
      <c r="H180" s="48"/>
      <c r="I180" s="48"/>
    </row>
    <row r="181" spans="1:9" x14ac:dyDescent="0.35">
      <c r="A181" s="48"/>
      <c r="B181" s="89" t="s">
        <v>218</v>
      </c>
      <c r="C181" s="90"/>
      <c r="D181" s="91"/>
      <c r="E181" s="92">
        <v>264</v>
      </c>
      <c r="F181" s="48"/>
      <c r="G181" s="48"/>
      <c r="H181" s="48"/>
      <c r="I181" s="48"/>
    </row>
    <row r="182" spans="1:9" x14ac:dyDescent="0.35">
      <c r="A182" s="48"/>
      <c r="B182" s="89" t="s">
        <v>219</v>
      </c>
      <c r="C182" s="90"/>
      <c r="D182" s="91"/>
      <c r="E182" s="92">
        <v>256</v>
      </c>
      <c r="F182" s="48"/>
      <c r="G182" s="48"/>
      <c r="H182" s="48"/>
      <c r="I182" s="48"/>
    </row>
    <row r="183" spans="1:9" x14ac:dyDescent="0.35">
      <c r="A183" s="48"/>
      <c r="B183" s="89" t="s">
        <v>220</v>
      </c>
      <c r="C183" s="90"/>
      <c r="D183" s="91"/>
      <c r="E183" s="101">
        <v>33.473699199999999</v>
      </c>
      <c r="F183" s="48"/>
      <c r="G183" s="48"/>
      <c r="H183" s="48"/>
      <c r="I183" s="48"/>
    </row>
    <row r="184" spans="1:9" x14ac:dyDescent="0.35">
      <c r="A184" s="48"/>
      <c r="B184" s="89" t="s">
        <v>221</v>
      </c>
      <c r="C184" s="90"/>
      <c r="D184" s="91"/>
      <c r="E184" s="101">
        <v>9.9412249999999993</v>
      </c>
      <c r="F184" s="48"/>
      <c r="G184" s="48"/>
      <c r="H184" s="48"/>
      <c r="I184" s="48"/>
    </row>
    <row r="185" spans="1:9" x14ac:dyDescent="0.35">
      <c r="A185" s="48"/>
      <c r="B185" s="89" t="s">
        <v>211</v>
      </c>
      <c r="C185" s="90"/>
      <c r="D185" s="91"/>
      <c r="E185" s="102">
        <v>-23.787066800000002</v>
      </c>
      <c r="F185" s="48"/>
      <c r="G185" s="48"/>
      <c r="H185" s="48"/>
      <c r="I185" s="48"/>
    </row>
    <row r="188" spans="1:9" x14ac:dyDescent="0.35">
      <c r="B188" s="104" t="s">
        <v>224</v>
      </c>
    </row>
    <row r="189" spans="1:9" x14ac:dyDescent="0.35">
      <c r="B189" t="s">
        <v>225</v>
      </c>
    </row>
    <row r="191" spans="1:9" ht="35" customHeight="1" x14ac:dyDescent="0.35">
      <c r="B191" s="112" t="s">
        <v>226</v>
      </c>
      <c r="C191" s="112"/>
      <c r="D191" s="112"/>
      <c r="E191" s="112"/>
    </row>
    <row r="194" spans="2:4" x14ac:dyDescent="0.35">
      <c r="B194" s="105" t="s">
        <v>227</v>
      </c>
      <c r="C194" s="106" t="s">
        <v>228</v>
      </c>
    </row>
    <row r="195" spans="2:4" x14ac:dyDescent="0.35">
      <c r="C195" s="106" t="s">
        <v>229</v>
      </c>
    </row>
    <row r="202" spans="2:4" x14ac:dyDescent="0.35">
      <c r="B202" s="107" t="s">
        <v>230</v>
      </c>
      <c r="C202" s="107"/>
      <c r="D202" s="107"/>
    </row>
    <row r="203" spans="2:4" x14ac:dyDescent="0.35">
      <c r="B203" s="107"/>
      <c r="C203" s="107"/>
      <c r="D203" s="107"/>
    </row>
    <row r="204" spans="2:4" x14ac:dyDescent="0.35">
      <c r="B204" s="107"/>
      <c r="C204" s="107"/>
      <c r="D204" s="107"/>
    </row>
    <row r="205" spans="2:4" x14ac:dyDescent="0.35">
      <c r="B205" s="107"/>
      <c r="C205" s="107"/>
      <c r="D205" s="107"/>
    </row>
    <row r="206" spans="2:4" x14ac:dyDescent="0.35">
      <c r="B206" s="107"/>
      <c r="C206" s="107"/>
      <c r="D206" s="107"/>
    </row>
  </sheetData>
  <dataConsolidate/>
  <mergeCells count="9">
    <mergeCell ref="B202:D206"/>
    <mergeCell ref="A1:I1"/>
    <mergeCell ref="A2:I2"/>
    <mergeCell ref="A3:I3"/>
    <mergeCell ref="B150:C150"/>
    <mergeCell ref="B171:C171"/>
    <mergeCell ref="B191:E191"/>
    <mergeCell ref="B133:G133"/>
    <mergeCell ref="B135:G135"/>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73</vt:i4>
      </vt:variant>
    </vt:vector>
  </HeadingPairs>
  <TitlesOfParts>
    <vt:vector size="74" baseType="lpstr">
      <vt:lpstr>WSXT</vt:lpstr>
      <vt:lpstr>XDO_?AUM?1?</vt:lpstr>
      <vt:lpstr>XDO_?FUND_OBJECTIVE?1?</vt:lpstr>
      <vt:lpstr>XDO_?HEADER?1?</vt:lpstr>
      <vt:lpstr>XDO_?ISIN_EQU?1?</vt:lpstr>
      <vt:lpstr>XDO_?ISIN_TREP?1?</vt:lpstr>
      <vt:lpstr>XDO_?ISSUER_NAME_EQU?1?</vt:lpstr>
      <vt:lpstr>XDO_?ISSUER_NAME_TREP?1?</vt:lpstr>
      <vt:lpstr>XDO_?MARKET_VALUE_EQU?1?</vt:lpstr>
      <vt:lpstr>XDO_?MARKET_VALUE_TREP?1?</vt:lpstr>
      <vt:lpstr>XDO_?MATURITY_DATE_EQU?1?</vt:lpstr>
      <vt:lpstr>XDO_?MATURITY_DATE_TREP?1?</vt:lpstr>
      <vt:lpstr>XDO_?NAV_GROUP?1?</vt:lpstr>
      <vt:lpstr>XDO_?PER_NET_ASST_EQU?1?</vt:lpstr>
      <vt:lpstr>XDO_?PER_NET_ASST_TREP?1?</vt:lpstr>
      <vt:lpstr>XDO_?QUANTITY_EQU?1?</vt:lpstr>
      <vt:lpstr>XDO_?QUANTITY_TREP?1?</vt:lpstr>
      <vt:lpstr>XDO_?RATING_INDUSTRY_EQU?1?</vt:lpstr>
      <vt:lpstr>XDO_?RATING_INDUSTRY_TREP?1?</vt:lpstr>
      <vt:lpstr>XDO_?TX_GT_MARKET_VALUE_DEBT_A?1?</vt:lpstr>
      <vt:lpstr>XDO_?TX_GT_MARKET_VALUE_DEBT_ALL?1?</vt:lpstr>
      <vt:lpstr>XDO_?TX_GT_MARKET_VALUE_DEBT_B?1?</vt:lpstr>
      <vt:lpstr>XDO_?TX_GT_MARKET_VALUE_DEBT_C?1?</vt:lpstr>
      <vt:lpstr>XDO_?TX_GT_MARKET_VALUE_DEBT_D?1?</vt:lpstr>
      <vt:lpstr>XDO_?TX_GT_MARKET_VALUE_EQU_ALL?1?</vt:lpstr>
      <vt:lpstr>XDO_?TX_GT_MARKET_VALUE_GRAND?1?</vt:lpstr>
      <vt:lpstr>XDO_?TX_GT_MARKET_VALUE_GRAND?2?</vt:lpstr>
      <vt:lpstr>XDO_?TX_GT_MARKET_VALUE_MM_ALL?1?</vt:lpstr>
      <vt:lpstr>XDO_?TX_GT_PER_NET_ASSET_DEBT_ALL?1?</vt:lpstr>
      <vt:lpstr>XDO_?TX_GT_PER_NET_ASST_DEBT_A?1?</vt:lpstr>
      <vt:lpstr>XDO_?TX_GT_PER_NET_ASST_DEBT_B?1?</vt:lpstr>
      <vt:lpstr>XDO_?TX_GT_PER_NET_ASST_DEBT_C?1?</vt:lpstr>
      <vt:lpstr>XDO_?TX_GT_PER_NET_ASST_DEBT_D?1?</vt:lpstr>
      <vt:lpstr>XDO_?TX_GT_PER_NET_ASST_EQU_ALL?1?</vt:lpstr>
      <vt:lpstr>XDO_?TX_GT_PER_NET_ASST_GRAND?1?</vt:lpstr>
      <vt:lpstr>XDO_?TX_GT_PER_NET_ASST_GRAND?2?</vt:lpstr>
      <vt:lpstr>XDO_?TX_GT_PER_NET_ASST_MM_ALL?1?</vt:lpstr>
      <vt:lpstr>XDO_?TX_MKT_VAL_DEBT_A_HDN?1?</vt:lpstr>
      <vt:lpstr>XDO_?TX_MKT_VAL_DEBT_B_HDN?1?</vt:lpstr>
      <vt:lpstr>XDO_?TX_MKT_VAL_DEBT_C_HDN?1?</vt:lpstr>
      <vt:lpstr>XDO_?TX_MKT_VAL_DEBT_D_HDN?1?</vt:lpstr>
      <vt:lpstr>XDO_?TX_MKT_VAL_EQU_HDN?1?</vt:lpstr>
      <vt:lpstr>XDO_?TX_MKT_VAL_EQU_NON_HDN?1?</vt:lpstr>
      <vt:lpstr>XDO_?TX_MKT_VAL_IVT_HDN?1?</vt:lpstr>
      <vt:lpstr>XDO_?TX_MKT_VAL_RET_HDN?1?</vt:lpstr>
      <vt:lpstr>XDO_?TX_PER_NET_DEBT_A_HDN?1?</vt:lpstr>
      <vt:lpstr>XDO_?TX_PER_NET_DEBT_B_HDN?1?</vt:lpstr>
      <vt:lpstr>XDO_?TX_PER_NET_DEBT_C_HDN?1?</vt:lpstr>
      <vt:lpstr>XDO_?TX_PER_NET_DEBT_D_HDN?1?</vt:lpstr>
      <vt:lpstr>XDO_?TX_PER_NET_EQU_HDN?1?</vt:lpstr>
      <vt:lpstr>XDO_?TX_PER_NET_EQU_NON_HDN?1?</vt:lpstr>
      <vt:lpstr>XDO_?TX_PER_NET_IVT_HDN?1?</vt:lpstr>
      <vt:lpstr>XDO_?TX_PER_NET_RET_HDN?1?</vt:lpstr>
      <vt:lpstr>XDO_?TX_ST_MARKET_VALUE_EQU?1?</vt:lpstr>
      <vt:lpstr>XDO_?TX_ST_MARKET_VALUE_EQU_NON?1?</vt:lpstr>
      <vt:lpstr>XDO_?TX_ST_MARKET_VALUE_IVT?1?</vt:lpstr>
      <vt:lpstr>XDO_?TX_ST_MARKET_VALUE_OTHERS?1?</vt:lpstr>
      <vt:lpstr>XDO_?TX_ST_MARKET_VALUE_PRF?1?</vt:lpstr>
      <vt:lpstr>XDO_?TX_ST_MARKET_VALUE_RET?1?</vt:lpstr>
      <vt:lpstr>XDO_?TX_ST_MARKET_VALUE_RR?1?</vt:lpstr>
      <vt:lpstr>XDO_?TX_ST_MARKET_VALUE_TREP?1?</vt:lpstr>
      <vt:lpstr>XDO_?TX_ST_PER_NET_ASST_EQU?1?</vt:lpstr>
      <vt:lpstr>XDO_?TX_ST_PER_NET_ASST_EQU_NON?1?</vt:lpstr>
      <vt:lpstr>XDO_?TX_ST_PER_NET_ASST_IVT?1?</vt:lpstr>
      <vt:lpstr>XDO_?TX_ST_PER_NET_ASST_OTHERS?1?</vt:lpstr>
      <vt:lpstr>XDO_?TX_ST_PER_NET_ASST_PRF?1?</vt:lpstr>
      <vt:lpstr>XDO_?TX_ST_PER_NET_ASST_RET?1?</vt:lpstr>
      <vt:lpstr>XDO_?TX_ST_PER_NET_ASST_RR?1?</vt:lpstr>
      <vt:lpstr>XDO_?TX_ST_PER_NET_ASST_TREP?1?</vt:lpstr>
      <vt:lpstr>XDO_?YIELDS_EQU?1?</vt:lpstr>
      <vt:lpstr>XDO_?YIELDS_TREP?1?</vt:lpstr>
      <vt:lpstr>XDO_GROUP_?G_23?1?</vt:lpstr>
      <vt:lpstr>XDO_GROUP_?G_25?1?</vt:lpstr>
      <vt:lpstr>XDO_GROUP_?G_3?1?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2026-10-09T10:49:54Z</dcterms:created>
  <dcterms:modified xsi:type="dcterms:W3CDTF">2026-10-09T11:13:43Z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2026-10-09T10:50:03Z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9467e2a5-43ce-429a-b9a4-f6e7a171cfc6</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