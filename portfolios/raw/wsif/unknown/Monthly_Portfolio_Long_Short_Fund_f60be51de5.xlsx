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124226"/>
  <mc:AlternateContent xmlns:mc="http://schemas.openxmlformats.org/markup-compatibility/2006">
    <mc:Choice Requires="x15">
      <x15ac:absPath xmlns:x15ac="http://schemas.microsoft.com/office/spreadsheetml/2010/11/ac" url="O:\2. Operations FY 2026-27\PORTFOLIOS\MONTHLY\Sep 2026\SIF\"/>
    </mc:Choice>
  </mc:AlternateContent>
  <xr:revisionPtr revIDLastSave="0" documentId="13_ncr:1_{B51AE4C6-50C7-41D9-B6E3-9C14961C089B}" xr6:coauthVersionLast="47" xr6:coauthVersionMax="47" xr10:uidLastSave="{00000000-0000-0000-0000-000000000000}"/>
  <bookViews>
    <workbookView xWindow="-110" yWindow="-110" windowWidth="19420" windowHeight="11500" xr2:uid="{78C5D07B-5F6A-47DE-8ACD-EC580A0E182C}"/>
  </bookViews>
  <sheets>
    <sheet name="WSLS" sheetId="1" r:id="rId1"/>
  </sheets>
  <externalReferences>
    <externalReference r:id="rId2"/>
  </externalReferences>
  <definedNames>
    <definedName name="XDO_?ASSET_TYPE_MM?">WSLS!$B$46</definedName>
    <definedName name="XDO_?AUM?">WSLS!$E$85:$E$96</definedName>
    <definedName name="XDO_?DATECH?">'[1]DETAILED HOLDING STATEMENT'!#REF!</definedName>
    <definedName name="XDO_?DATEMISS?">'[1]DETAILED HOLDING STATEMENT'!#REF!</definedName>
    <definedName name="XDO_?DLAST_COUP?">'[1]DETAILED HOLDING STATEMENT'!#REF!</definedName>
    <definedName name="XDO_?DNEXT_COUP?">'[1]DETAILED HOLDING STATEMENT'!#REF!</definedName>
    <definedName name="XDO_?FUND_OBJECTIVE?">WSLS!$A$2</definedName>
    <definedName name="XDO_?HEADER?">WSLS!$A$3</definedName>
    <definedName name="XDO_?ISIN_ALT?">WSLS!$A$79</definedName>
    <definedName name="XDO_?ISIN_DEBT_A?">WSLS!$A$28</definedName>
    <definedName name="XDO_?ISIN_DEBT_B?">WSLS!$A$31</definedName>
    <definedName name="XDO_?ISIN_DEBT_C?">WSLS!$A$34</definedName>
    <definedName name="XDO_?ISIN_DEBT_D?">WSLS!$A$37</definedName>
    <definedName name="XDO_?ISIN_DRV?">WSLS!$A$22</definedName>
    <definedName name="XDO_?ISIN_EQU?">WSLS!$A$7:$A$57</definedName>
    <definedName name="XDO_?ISIN_EQU_NON?">WSLS!$A$10</definedName>
    <definedName name="XDO_?ISIN_ETF?">WSLS!$A$71</definedName>
    <definedName name="XDO_?ISIN_FD?">WSLS!$A$75</definedName>
    <definedName name="XDO_?ISIN_IRS?">WSLS!$A$62</definedName>
    <definedName name="XDO_?ISIN_IVT?">WSLS!$A$16</definedName>
    <definedName name="XDO_?ISIN_MFU?">WSLS!$A$67</definedName>
    <definedName name="XDO_?ISIN_MM?">WSLS!$A$47</definedName>
    <definedName name="XDO_?ISIN_OTHERS?">WSLS!$A$42</definedName>
    <definedName name="XDO_?ISIN_PRF?">WSLS!$A$58</definedName>
    <definedName name="XDO_?ISIN_RET?">WSLS!$A$13</definedName>
    <definedName name="XDO_?ISIN_RR?">WSLS!$A$53</definedName>
    <definedName name="XDO_?ISIN_TREP?">WSLS!$A$50:$A$83</definedName>
    <definedName name="XDO_?ISSUER_NAME_ALT?">WSLS!$B$79</definedName>
    <definedName name="XDO_?ISSUER_NAME_DEBT_A?">WSLS!$B$28</definedName>
    <definedName name="XDO_?ISSUER_NAME_DEBT_B?">WSLS!$B$31</definedName>
    <definedName name="XDO_?ISSUER_NAME_DEBT_C?">WSLS!$B$34</definedName>
    <definedName name="XDO_?ISSUER_NAME_DEBT_D?">WSLS!$B$37</definedName>
    <definedName name="XDO_?ISSUER_NAME_DRV?">WSLS!$B$22</definedName>
    <definedName name="XDO_?ISSUER_NAME_EQU?">WSLS!$B$7:$B$57</definedName>
    <definedName name="XDO_?ISSUER_NAME_EQU_NON?">WSLS!$B$10</definedName>
    <definedName name="XDO_?ISSUER_NAME_ETF?">WSLS!$B$71</definedName>
    <definedName name="XDO_?ISSUER_NAME_FD?">WSLS!$B$75</definedName>
    <definedName name="XDO_?ISSUER_NAME_IRS?">WSLS!$B$62</definedName>
    <definedName name="XDO_?ISSUER_NAME_IVT?">WSLS!$B$16</definedName>
    <definedName name="XDO_?ISSUER_NAME_MFU?">WSLS!$B$67</definedName>
    <definedName name="XDO_?ISSUER_NAME_MM?">WSLS!$B$47</definedName>
    <definedName name="XDO_?ISSUER_NAME_OTHERS?">WSLS!$B$42</definedName>
    <definedName name="XDO_?ISSUER_NAME_PRF?">WSLS!$B$58</definedName>
    <definedName name="XDO_?ISSUER_NAME_RET?">WSLS!$B$13</definedName>
    <definedName name="XDO_?ISSUER_NAME_RR?">WSLS!$B$53</definedName>
    <definedName name="XDO_?ISSUER_NAME_TREP?">WSLS!$B$50:$B$83</definedName>
    <definedName name="XDO_?MARKET_VALUE_ALT?">WSLS!$E$79</definedName>
    <definedName name="XDO_?MARKET_VALUE_DEBT_A?">WSLS!$E$28</definedName>
    <definedName name="XDO_?MARKET_VALUE_DEBT_B?">WSLS!$E$31</definedName>
    <definedName name="XDO_?MARKET_VALUE_DEBT_C?">WSLS!$E$34</definedName>
    <definedName name="XDO_?MARKET_VALUE_DEBT_D?">WSLS!$E$37</definedName>
    <definedName name="XDO_?MARKET_VALUE_DRV?">WSLS!$E$22</definedName>
    <definedName name="XDO_?MARKET_VALUE_EQU?">WSLS!$E$7:$E$57</definedName>
    <definedName name="XDO_?MARKET_VALUE_EQU_NON?">WSLS!$E$10</definedName>
    <definedName name="XDO_?MARKET_VALUE_ETF?">WSLS!$E$71</definedName>
    <definedName name="XDO_?MARKET_VALUE_FD?">WSLS!$E$75</definedName>
    <definedName name="XDO_?MARKET_VALUE_IRS?">WSLS!$E$62</definedName>
    <definedName name="XDO_?MARKET_VALUE_IVT?">WSLS!$E$16</definedName>
    <definedName name="XDO_?MARKET_VALUE_MFU?">WSLS!$E$67</definedName>
    <definedName name="XDO_?MARKET_VALUE_MM?">WSLS!$E$47</definedName>
    <definedName name="XDO_?MARKET_VALUE_OTHERS?">WSLS!$E$42</definedName>
    <definedName name="XDO_?MARKET_VALUE_PRF?">WSLS!$E$58</definedName>
    <definedName name="XDO_?MARKET_VALUE_RET?">WSLS!$E$13</definedName>
    <definedName name="XDO_?MARKET_VALUE_RR?">WSLS!$E$53</definedName>
    <definedName name="XDO_?MARKET_VALUE_TREP?">WSLS!$E$50:$E$83</definedName>
    <definedName name="XDO_?MATURITY_DATE?">'[1]DETAILED HOLDING STATEMENT'!#REF!</definedName>
    <definedName name="XDO_?MATURITY_DATE_DEBT_A?">WSLS!$G$28</definedName>
    <definedName name="XDO_?MATURITY_DATE_DEBT_B?">WSLS!$G$31</definedName>
    <definedName name="XDO_?MATURITY_DATE_DEBT_C?">WSLS!$G$34</definedName>
    <definedName name="XDO_?MATURITY_DATE_DEBT_D?">WSLS!$G$37</definedName>
    <definedName name="XDO_?MATURITY_DATE_DRV?">WSLS!$G$22</definedName>
    <definedName name="XDO_?MATURITY_DATE_EQU?">WSLS!$G$7:$G$57</definedName>
    <definedName name="XDO_?MATURITY_DATE_EQU_NON?">WSLS!$G$10</definedName>
    <definedName name="XDO_?MATURITY_DATE_ETF?">WSLS!$G$71</definedName>
    <definedName name="XDO_?MATURITY_DATE_FD?">WSLS!$G$75</definedName>
    <definedName name="XDO_?MATURITY_DATE_IVT?">WSLS!$G$16</definedName>
    <definedName name="XDO_?MATURITY_DATE_MFU?">WSLS!$G$67</definedName>
    <definedName name="XDO_?MATURITY_DATE_MM?">WSLS!$G$47</definedName>
    <definedName name="XDO_?MATURITY_DATE_RET?">WSLS!$G$13</definedName>
    <definedName name="XDO_?MATURITY_DATE_RR?">WSLS!$G$53</definedName>
    <definedName name="XDO_?MATURITY_DATE_TREP?">WSLS!$G$50:$G$83</definedName>
    <definedName name="XDO_?MD_HIDE_EQU_1?">WSLS!#REF!</definedName>
    <definedName name="XDO_?MD_HIDE_EQU_1?1?">[1]WSXT!#REF!</definedName>
    <definedName name="XDO_?MD_HIDE_EQU_2?">WSLS!#REF!</definedName>
    <definedName name="XDO_?MD_HIDE_EQU_2?1?">[1]WSXT!#REF!</definedName>
    <definedName name="XDO_?MD_HIDE_EQU_3?">WSLS!#REF!</definedName>
    <definedName name="XDO_?MD_HIDE_EQU_3?1?">[1]WSXT!#REF!</definedName>
    <definedName name="XDO_?MD_HIDE_EQU_4?">WSLS!#REF!</definedName>
    <definedName name="XDO_?MD_HIDE_EQU_4?1?">[1]WSXT!#REF!</definedName>
    <definedName name="XDO_?MD_HIDE_EQU_4?2?">[1]WSXT!#REF!</definedName>
    <definedName name="XDO_?MD_HIDE_EQU_5?">WSLS!#REF!</definedName>
    <definedName name="XDO_?MD_HIDE_EQU_5?1?">[1]WSXT!#REF!</definedName>
    <definedName name="XDO_?MD_HIDE_EQU_6?">WSLS!#REF!</definedName>
    <definedName name="XDO_?NAV_GROUP?">WSLS!$A$1</definedName>
    <definedName name="XDO_?P_AS_ON_DATE?">'[1]DETAILED HOLDING STATEMENT'!#REF!</definedName>
    <definedName name="XDO_?PER_NET_ASST_ALT?">WSLS!$F$79</definedName>
    <definedName name="XDO_?PER_NET_ASST_DEBT_A?">WSLS!$F$28</definedName>
    <definedName name="XDO_?PER_NET_ASST_DEBT_B?">WSLS!$F$31</definedName>
    <definedName name="XDO_?PER_NET_ASST_DEBT_C?">WSLS!$F$34</definedName>
    <definedName name="XDO_?PER_NET_ASST_DEBT_D?">WSLS!$F$37</definedName>
    <definedName name="XDO_?PER_NET_ASST_DRV?">WSLS!$F$22</definedName>
    <definedName name="XDO_?PER_NET_ASST_EQU?">WSLS!$F$7:$F$57</definedName>
    <definedName name="XDO_?PER_NET_ASST_EQU_NON?">WSLS!$F$10</definedName>
    <definedName name="XDO_?PER_NET_ASST_ETF?">WSLS!$F$71</definedName>
    <definedName name="XDO_?PER_NET_ASST_FD?">WSLS!$F$75</definedName>
    <definedName name="XDO_?PER_NET_ASST_IRS?">WSLS!$F$62</definedName>
    <definedName name="XDO_?PER_NET_ASST_IVT?">WSLS!$F$16</definedName>
    <definedName name="XDO_?PER_NET_ASST_MFU?">WSLS!$F$67</definedName>
    <definedName name="XDO_?PER_NET_ASST_MM?">WSLS!$F$47</definedName>
    <definedName name="XDO_?PER_NET_ASST_OTHERS?">WSLS!$F$42</definedName>
    <definedName name="XDO_?PER_NET_ASST_PRF?">WSLS!$F$58</definedName>
    <definedName name="XDO_?PER_NET_ASST_RET?">WSLS!$F$13</definedName>
    <definedName name="XDO_?PER_NET_ASST_RR?">WSLS!$F$53</definedName>
    <definedName name="XDO_?PER_NET_ASST_TREP?">WSLS!$F$50:$F$83</definedName>
    <definedName name="XDO_?QUANTITY_ALT?">WSLS!$D$79</definedName>
    <definedName name="XDO_?QUANTITY_DEBT_A?">WSLS!$D$28</definedName>
    <definedName name="XDO_?QUANTITY_DEBT_B?">WSLS!$D$31</definedName>
    <definedName name="XDO_?QUANTITY_DEBT_C?">WSLS!$D$34</definedName>
    <definedName name="XDO_?QUANTITY_DEBT_D?">WSLS!$D$37</definedName>
    <definedName name="XDO_?QUANTITY_DRV?">WSLS!$D$22</definedName>
    <definedName name="XDO_?QUANTITY_EQU?">WSLS!$D$7:$D$57</definedName>
    <definedName name="XDO_?QUANTITY_EQU_NON?">WSLS!$D$10</definedName>
    <definedName name="XDO_?QUANTITY_ETF?">WSLS!$D$71</definedName>
    <definedName name="XDO_?QUANTITY_FD?">WSLS!$D$75</definedName>
    <definedName name="XDO_?QUANTITY_IVT?">WSLS!$D$16</definedName>
    <definedName name="XDO_?QUANTITY_MFU?">WSLS!$D$67</definedName>
    <definedName name="XDO_?QUANTITY_MM?">WSLS!$D$47</definedName>
    <definedName name="XDO_?QUANTITY_OTHERS?">WSLS!$D$42</definedName>
    <definedName name="XDO_?QUANTITY_PRF?">WSLS!$D$58</definedName>
    <definedName name="XDO_?QUANTITY_RET?">WSLS!$D$13</definedName>
    <definedName name="XDO_?QUANTITY_RR?">WSLS!$D$53</definedName>
    <definedName name="XDO_?QUANTITY_TREP?">WSLS!$D$50:$D$83</definedName>
    <definedName name="XDO_?RATING_INDUSTRY_ALT?">WSLS!$C$79</definedName>
    <definedName name="XDO_?RATING_INDUSTRY_DEBT_A?">WSLS!$C$28</definedName>
    <definedName name="XDO_?RATING_INDUSTRY_DEBT_B?">WSLS!$C$31</definedName>
    <definedName name="XDO_?RATING_INDUSTRY_DEBT_C?">WSLS!$C$34</definedName>
    <definedName name="XDO_?RATING_INDUSTRY_DEBT_D?">WSLS!$C$37</definedName>
    <definedName name="XDO_?RATING_INDUSTRY_DRV?">WSLS!$C$22</definedName>
    <definedName name="XDO_?RATING_INDUSTRY_EQU?">WSLS!$C$7:$C$57</definedName>
    <definedName name="XDO_?RATING_INDUSTRY_EQU_NON?">WSLS!$C$10</definedName>
    <definedName name="XDO_?RATING_INDUSTRY_ETF?">WSLS!$C$71</definedName>
    <definedName name="XDO_?RATING_INDUSTRY_FD?">WSLS!$C$75</definedName>
    <definedName name="XDO_?RATING_INDUSTRY_IRS?">WSLS!$C$62</definedName>
    <definedName name="XDO_?RATING_INDUSTRY_IVT?">WSLS!$C$16</definedName>
    <definedName name="XDO_?RATING_INDUSTRY_MFU?">WSLS!$C$67</definedName>
    <definedName name="XDO_?RATING_INDUSTRY_MM?">WSLS!$C$47</definedName>
    <definedName name="XDO_?RATING_INDUSTRY_OTHERS?">WSLS!$C$42</definedName>
    <definedName name="XDO_?RATING_INDUSTRY_PRF?">WSLS!$C$58</definedName>
    <definedName name="XDO_?RATING_INDUSTRY_RET?">WSLS!$C$13</definedName>
    <definedName name="XDO_?RATING_INDUSTRY_RR?">WSLS!$C$53</definedName>
    <definedName name="XDO_?RATING_INDUSTRY_TREP?">WSLS!$C$50:$C$83</definedName>
    <definedName name="XDO_?ST_HIDE_EQU?">WSLS!#REF!</definedName>
    <definedName name="XDO_?ST_HIDE_EQU?1?">[1]WSXT!#REF!</definedName>
    <definedName name="XDO_?TITLE_HASH?">WSLS!#REF!</definedName>
    <definedName name="XDO_?TITLE_HASH?1?">[1]WSXT!#REF!</definedName>
    <definedName name="XDO_?TITLE_STAR?">WSLS!#REF!</definedName>
    <definedName name="XDO_?TITLE_STAR?1?">[1]WSXT!#REF!</definedName>
    <definedName name="XDO_?TX_GT_MARKET_VALUE_DEBT_A?">WSLS!#REF!</definedName>
    <definedName name="XDO_?TX_GT_MARKET_VALUE_DEBT_A?2?">[1]WSXT!#REF!</definedName>
    <definedName name="XDO_?TX_GT_MARKET_VALUE_DEBT_ALL?">WSLS!$E$76</definedName>
    <definedName name="XDO_?TX_GT_MARKET_VALUE_DEBT_B?">WSLS!#REF!</definedName>
    <definedName name="XDO_?TX_GT_MARKET_VALUE_DEBT_B?2?">[1]WSXT!#REF!</definedName>
    <definedName name="XDO_?TX_GT_MARKET_VALUE_DEBT_C?">WSLS!#REF!</definedName>
    <definedName name="XDO_?TX_GT_MARKET_VALUE_DEBT_C?2?">[1]WSXT!#REF!</definedName>
    <definedName name="XDO_?TX_GT_MARKET_VALUE_DEBT_D?">WSLS!#REF!</definedName>
    <definedName name="XDO_?TX_GT_MARKET_VALUE_DEBT_D?2?">[1]WSXT!#REF!</definedName>
    <definedName name="XDO_?TX_GT_MARKET_VALUE_EQU_ALL?">WSLS!$E$65</definedName>
    <definedName name="XDO_?TX_GT_MARKET_VALUE_GRAND?">WSLS!$E$94:$E$96</definedName>
    <definedName name="XDO_?TX_GT_MARKET_VALUE_MM_ALL?">WSLS!$E$87</definedName>
    <definedName name="XDO_?TX_GT_PER_NET_ASSET_DEBT_ALL?">WSLS!$F$76</definedName>
    <definedName name="XDO_?TX_GT_PER_NET_ASST_DEBT_A?">WSLS!#REF!</definedName>
    <definedName name="XDO_?TX_GT_PER_NET_ASST_DEBT_A?2?">[1]WSXT!#REF!</definedName>
    <definedName name="XDO_?TX_GT_PER_NET_ASST_DEBT_B?">WSLS!#REF!</definedName>
    <definedName name="XDO_?TX_GT_PER_NET_ASST_DEBT_B?2?">[1]WSXT!#REF!</definedName>
    <definedName name="XDO_?TX_GT_PER_NET_ASST_DEBT_C?">WSLS!#REF!</definedName>
    <definedName name="XDO_?TX_GT_PER_NET_ASST_DEBT_C?2?">[1]WSXT!#REF!</definedName>
    <definedName name="XDO_?TX_GT_PER_NET_ASST_DEBT_D?">WSLS!#REF!</definedName>
    <definedName name="XDO_?TX_GT_PER_NET_ASST_DEBT_D?2?">[1]WSXT!#REF!</definedName>
    <definedName name="XDO_?TX_GT_PER_NET_ASST_EQU_ALL?">WSLS!$F$65</definedName>
    <definedName name="XDO_?TX_GT_PER_NET_ASST_GRAND?">WSLS!$F$94:$F$96</definedName>
    <definedName name="XDO_?TX_GT_PER_NET_ASST_MM_ALL?">WSLS!$F$87</definedName>
    <definedName name="XDO_?TX_MKT_VAL_DEBT_A_HDN?">WSLS!#REF!</definedName>
    <definedName name="XDO_?TX_MKT_VAL_DEBT_A_HDN?2?">[1]WSXT!#REF!</definedName>
    <definedName name="XDO_?TX_MKT_VAL_DEBT_B_HDN?">WSLS!$E$70</definedName>
    <definedName name="XDO_?TX_MKT_VAL_DEBT_C_HDN?">WSLS!$E$72</definedName>
    <definedName name="XDO_?TX_MKT_VAL_DEBT_D_HDN?">WSLS!$E$74</definedName>
    <definedName name="XDO_?TX_MKT_VAL_EQU_HDN?">WSLS!$E$6</definedName>
    <definedName name="XDO_?TX_MKT_VAL_EQU_NON_HDN?">WSLS!$E$59</definedName>
    <definedName name="XDO_?TX_MKT_VAL_IVT_HDN?">WSLS!$E$63</definedName>
    <definedName name="XDO_?TX_MKT_VAL_RET_HDN?">WSLS!$E$61</definedName>
    <definedName name="XDO_?TX_PER_NET_DEBT_A_HDN?">WSLS!#REF!</definedName>
    <definedName name="XDO_?TX_PER_NET_DEBT_A_HDN?2?">[1]WSXT!#REF!</definedName>
    <definedName name="XDO_?TX_PER_NET_DEBT_B_HDN?">WSLS!$F$70</definedName>
    <definedName name="XDO_?TX_PER_NET_DEBT_C_HDN?">WSLS!$F$72</definedName>
    <definedName name="XDO_?TX_PER_NET_DEBT_D_HDN?">WSLS!$F$74</definedName>
    <definedName name="XDO_?TX_PER_NET_EQU_HDN?">WSLS!$F$6</definedName>
    <definedName name="XDO_?TX_PER_NET_EQU_NON_HDN?">WSLS!$F$59</definedName>
    <definedName name="XDO_?TX_PER_NET_IVT_HDN?">WSLS!$F$63</definedName>
    <definedName name="XDO_?TX_PER_NET_RET_HDN?">WSLS!$F$61</definedName>
    <definedName name="XDO_?TX_ST_MARKET_VALUE_ALT?">WSLS!$E$80</definedName>
    <definedName name="XDO_?TX_ST_MARKET_VALUE_DRV?">WSLS!$E$23</definedName>
    <definedName name="XDO_?TX_ST_MARKET_VALUE_EQU?">WSLS!$E$58</definedName>
    <definedName name="XDO_?TX_ST_MARKET_VALUE_EQU_NON?">WSLS!#REF!</definedName>
    <definedName name="XDO_?TX_ST_MARKET_VALUE_EQU_NON?2?">[1]WSXT!#REF!</definedName>
    <definedName name="XDO_?TX_ST_MARKET_VALUE_ETF?">WSLS!$E$72</definedName>
    <definedName name="XDO_?TX_ST_MARKET_VALUE_FD?">WSLS!$E$76</definedName>
    <definedName name="XDO_?TX_ST_MARKET_VALUE_IRS?">WSLS!$E$63</definedName>
    <definedName name="XDO_?TX_ST_MARKET_VALUE_IVT?">WSLS!#REF!</definedName>
    <definedName name="XDO_?TX_ST_MARKET_VALUE_IVT?2?">[1]WSXT!#REF!</definedName>
    <definedName name="XDO_?TX_ST_MARKET_VALUE_MFU?">WSLS!$E$68</definedName>
    <definedName name="XDO_?TX_ST_MARKET_VALUE_MM?">WSLS!$E$48</definedName>
    <definedName name="XDO_?TX_ST_MARKET_VALUE_OTHERS?">WSLS!#REF!</definedName>
    <definedName name="XDO_?TX_ST_MARKET_VALUE_OTHERS?2?">[1]WSXT!#REF!</definedName>
    <definedName name="XDO_?TX_ST_MARKET_VALUE_PRF?">WSLS!#REF!</definedName>
    <definedName name="XDO_?TX_ST_MARKET_VALUE_PRF?2?">[1]WSXT!#REF!</definedName>
    <definedName name="XDO_?TX_ST_MARKET_VALUE_RET?">WSLS!#REF!</definedName>
    <definedName name="XDO_?TX_ST_MARKET_VALUE_RET?2?">[1]WSXT!#REF!</definedName>
    <definedName name="XDO_?TX_ST_MARKET_VALUE_RR?">WSLS!#REF!</definedName>
    <definedName name="XDO_?TX_ST_MARKET_VALUE_RR?2?">[1]WSXT!#REF!</definedName>
    <definedName name="XDO_?TX_ST_MARKET_VALUE_TREP?">WSLS!$E$84</definedName>
    <definedName name="XDO_?TX_ST_PER_NET_ASST_ALT?">WSLS!$F$80</definedName>
    <definedName name="XDO_?TX_ST_PER_NET_ASST_DRV?">WSLS!$F$23</definedName>
    <definedName name="XDO_?TX_ST_PER_NET_ASST_EQU?">WSLS!$F$58</definedName>
    <definedName name="XDO_?TX_ST_PER_NET_ASST_EQU_NON?">WSLS!#REF!</definedName>
    <definedName name="XDO_?TX_ST_PER_NET_ASST_EQU_NON?2?">[1]WSXT!#REF!</definedName>
    <definedName name="XDO_?TX_ST_PER_NET_ASST_ETF?">WSLS!$F$72</definedName>
    <definedName name="XDO_?TX_ST_PER_NET_ASST_FD?">WSLS!$F$76</definedName>
    <definedName name="XDO_?TX_ST_PER_NET_ASST_IRS?">WSLS!$F$63</definedName>
    <definedName name="XDO_?TX_ST_PER_NET_ASST_IVT?">WSLS!#REF!</definedName>
    <definedName name="XDO_?TX_ST_PER_NET_ASST_IVT?2?">[1]WSXT!#REF!</definedName>
    <definedName name="XDO_?TX_ST_PER_NET_ASST_MFU?">WSLS!$F$68</definedName>
    <definedName name="XDO_?TX_ST_PER_NET_ASST_MM?">WSLS!$F$48</definedName>
    <definedName name="XDO_?TX_ST_PER_NET_ASST_OTHERS?">WSLS!#REF!</definedName>
    <definedName name="XDO_?TX_ST_PER_NET_ASST_OTHERS?2?">[1]WSXT!#REF!</definedName>
    <definedName name="XDO_?TX_ST_PER_NET_ASST_PRF?">WSLS!#REF!</definedName>
    <definedName name="XDO_?TX_ST_PER_NET_ASST_PRF?2?">[1]WSXT!#REF!</definedName>
    <definedName name="XDO_?TX_ST_PER_NET_ASST_RET?">WSLS!#REF!</definedName>
    <definedName name="XDO_?TX_ST_PER_NET_ASST_RET?2?">[1]WSXT!#REF!</definedName>
    <definedName name="XDO_?TX_ST_PER_NET_ASST_RR?">WSLS!#REF!</definedName>
    <definedName name="XDO_?TX_ST_PER_NET_ASST_RR?2?">[1]WSXT!#REF!</definedName>
    <definedName name="XDO_?TX_ST_PER_NET_ASST_TREP?">WSLS!$F$84</definedName>
    <definedName name="XDO_?YIELDS_ALT?">WSLS!$I$79</definedName>
    <definedName name="XDO_?YIELDS_DEBT_A?">WSLS!$I$28</definedName>
    <definedName name="XDO_?YIELDS_DEBT_B?">WSLS!$I$31</definedName>
    <definedName name="XDO_?YIELDS_DEBT_C?">WSLS!$I$34</definedName>
    <definedName name="XDO_?YIELDS_DEBT_D?">WSLS!$I$37</definedName>
    <definedName name="XDO_?YIELDS_DRV?">WSLS!$I$22</definedName>
    <definedName name="XDO_?YIELDS_EQU?">WSLS!$I$7:$I$57</definedName>
    <definedName name="XDO_?YIELDS_EQU_NON?">WSLS!$I$10</definedName>
    <definedName name="XDO_?YIELDS_ETF?">WSLS!$I$71</definedName>
    <definedName name="XDO_?YIELDS_FD?">WSLS!$I$75</definedName>
    <definedName name="XDO_?YIELDS_IRS?">WSLS!$I$62</definedName>
    <definedName name="XDO_?YIELDS_IVT?">WSLS!$I$16</definedName>
    <definedName name="XDO_?YIELDS_MFU?">WSLS!$I$67</definedName>
    <definedName name="XDO_?YIELDS_MM?">WSLS!$I$47</definedName>
    <definedName name="XDO_?YIELDS_OTHERS?">WSLS!$I$42</definedName>
    <definedName name="XDO_?YIELDS_PRF?">WSLS!$I$58</definedName>
    <definedName name="XDO_?YIELDS_RET?">WSLS!$I$13</definedName>
    <definedName name="XDO_?YIELDS_RR?">WSLS!$I$53</definedName>
    <definedName name="XDO_?YIELDS_TREP?">WSLS!$I$50:$I$83</definedName>
    <definedName name="XDO_GROUP_?G_11?">WSLS!#REF!</definedName>
    <definedName name="XDO_GROUP_?G_11?1?">[1]WSXT!#REF!</definedName>
    <definedName name="XDO_GROUP_?G_12?">WSLS!#REF!</definedName>
    <definedName name="XDO_GROUP_?G_12?1?">[1]WSXT!#REF!</definedName>
    <definedName name="XDO_GROUP_?G_13?">WSLS!#REF!</definedName>
    <definedName name="XDO_GROUP_?G_13?1?">[1]WSXT!#REF!</definedName>
    <definedName name="XDO_GROUP_?G_14?">WSLS!#REF!</definedName>
    <definedName name="XDO_GROUP_?G_14?1?">[1]WSXT!#REF!</definedName>
    <definedName name="XDO_GROUP_?G_15?">WSLS!$A$28:$J$28</definedName>
    <definedName name="XDO_GROUP_?G_16?">WSLS!#REF!</definedName>
    <definedName name="XDO_GROUP_?G_16?1?">[1]WSXT!#REF!</definedName>
    <definedName name="XDO_GROUP_?G_17?">WSLS!$A$47:$J$47</definedName>
    <definedName name="XDO_GROUP_?G_18?">WSLS!#REF!</definedName>
    <definedName name="XDO_GROUP_?G_18?1?">[1]WSXT!#REF!</definedName>
    <definedName name="XDO_GROUP_?G_19?">WSLS!#REF!</definedName>
    <definedName name="XDO_GROUP_?G_19?1?">[1]WSXT!#REF!</definedName>
    <definedName name="XDO_GROUP_?G_20?">WSLS!$A$75:$J$75</definedName>
    <definedName name="XDO_GROUP_?G_21?">WSLS!$A$67:$J$67</definedName>
    <definedName name="XDO_GROUP_?G_23?">WSLS!$A$83:$J$83</definedName>
    <definedName name="XDO_GROUP_?G_25?">WSLS!$A$96:$J$96</definedName>
    <definedName name="XDO_GROUP_?G_26?">WSLS!#REF!</definedName>
    <definedName name="XDO_GROUP_?G_26?1?">[1]WSXT!#REF!</definedName>
    <definedName name="XDO_GROUP_?G_27?">WSLS!$A$79:$J$79</definedName>
    <definedName name="XDO_GROUP_?G_29?">WSLS!#REF!</definedName>
    <definedName name="XDO_GROUP_?G_29?1?">[1]WSXT!#REF!</definedName>
    <definedName name="XDO_GROUP_?G_3?">WSLS!$A$7:$J$57</definedName>
    <definedName name="XDO_GROUP_?G_30?">WSLS!#REF!</definedName>
    <definedName name="XDO_GROUP_?G_30?1?">[1]WSXT!#REF!</definedName>
    <definedName name="XDO_GROUP_?G_31?">WSLS!$A$62:$J$62</definedName>
    <definedName name="XDO_GROUP_?G_33?">WSLS!#REF!</definedName>
    <definedName name="XDO_GROUP_?G_33?1?">[1]WSXT!#REF!</definedName>
    <definedName name="XDO_GROUP_?G_35?">WSLS!#REF!</definedName>
    <definedName name="XDO_GROUP_?G_35?1?">[1]WSXT!#REF!</definedName>
    <definedName name="XDO_GROUP_?G_37?">WSLS!#REF!</definedName>
    <definedName name="XDO_GROUP_?G_37?1?">[1]WSXT!#REF!</definedName>
    <definedName name="XDO_GROUP_?G_39?">WSLS!#REF!</definedName>
    <definedName name="XDO_GROUP_?G_39?1?">[1]WSXT!#REF!</definedName>
    <definedName name="XDO_GROUP_?G_40?">WSLS!#REF!</definedName>
    <definedName name="XDO_GROUP_?G_40?1?">[1]WSXT!#REF!</definedName>
    <definedName name="XDO_GROUP_?G_41?">WSLS!$A$71:$J$71</definedName>
    <definedName name="XDO_GROUP_?G_5?">WSLS!#REF!</definedName>
    <definedName name="XDO_GROUP_?G_5?1?">[1]WSXT!#REF!</definedName>
    <definedName name="XDO_GROUP_?G_6?">WSLS!#REF!</definedName>
    <definedName name="XDO_GROUP_?G_6?1?">[1]WSXT!#REF!</definedName>
    <definedName name="XDO_GROUP_?G_7?">WSLS!$A$22:$J$22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F95" i="1" l="1"/>
  <c r="E95" i="1"/>
  <c r="J57" i="1"/>
  <c r="J56" i="1"/>
  <c r="J55" i="1"/>
  <c r="J54" i="1"/>
  <c r="J53" i="1"/>
  <c r="J52" i="1"/>
  <c r="J51" i="1"/>
  <c r="J50" i="1"/>
  <c r="J49" i="1"/>
  <c r="J48" i="1"/>
  <c r="J47" i="1"/>
  <c r="J46" i="1"/>
  <c r="J45" i="1"/>
  <c r="J44" i="1"/>
  <c r="J43" i="1"/>
  <c r="J42" i="1"/>
  <c r="J41" i="1"/>
  <c r="J40" i="1"/>
  <c r="J39" i="1"/>
  <c r="J38" i="1"/>
  <c r="J37" i="1"/>
  <c r="J36" i="1"/>
  <c r="J35" i="1"/>
  <c r="J34" i="1"/>
  <c r="J33" i="1"/>
  <c r="J32" i="1"/>
  <c r="J31" i="1"/>
  <c r="J30" i="1"/>
  <c r="J29" i="1"/>
  <c r="J28" i="1"/>
  <c r="J27" i="1"/>
  <c r="J26" i="1"/>
  <c r="J25" i="1"/>
  <c r="J24" i="1"/>
  <c r="J23" i="1"/>
  <c r="J22" i="1"/>
  <c r="J21" i="1"/>
  <c r="J20" i="1"/>
  <c r="J19" i="1"/>
  <c r="J18" i="1"/>
  <c r="J17" i="1"/>
  <c r="J16" i="1"/>
  <c r="J15" i="1"/>
  <c r="J14" i="1"/>
  <c r="J13" i="1"/>
  <c r="J12" i="1"/>
  <c r="J11" i="1"/>
  <c r="J10" i="1"/>
  <c r="J9" i="1"/>
  <c r="J8" i="1"/>
  <c r="J7" i="1"/>
</calcChain>
</file>

<file path=xl/sharedStrings.xml><?xml version="1.0" encoding="utf-8"?>
<sst xmlns="http://schemas.openxmlformats.org/spreadsheetml/2006/main" count="321" uniqueCount="223">
  <si>
    <t>WSIF Equity Long Short Fund</t>
  </si>
  <si>
    <t>Monthly Portfolio Statement for the period ended 30.September.2026</t>
  </si>
  <si>
    <t>ISIN</t>
  </si>
  <si>
    <t>Name of Instrument</t>
  </si>
  <si>
    <t>Rating/Industry</t>
  </si>
  <si>
    <t>Quantity</t>
  </si>
  <si>
    <t>Market Value (In Rs. lakh)</t>
  </si>
  <si>
    <t>% To Net Assets</t>
  </si>
  <si>
    <t>Maturity Date</t>
  </si>
  <si>
    <t>Put/Call Option</t>
  </si>
  <si>
    <t>Yield</t>
  </si>
  <si>
    <t>EQUITY &amp; EQUITY RELATED</t>
  </si>
  <si>
    <t>(a) Listed / awaiting listing on the stock exchanges</t>
  </si>
  <si>
    <t>INE040A01034</t>
  </si>
  <si>
    <t>HDFC Bank Limited</t>
  </si>
  <si>
    <t>Banks</t>
  </si>
  <si>
    <t>INE0J1Y01017</t>
  </si>
  <si>
    <t>Life Insurance Corporation Of India</t>
  </si>
  <si>
    <t>Insurance</t>
  </si>
  <si>
    <t>INE467B01029</t>
  </si>
  <si>
    <t>Tata Consultancy Services Limited</t>
  </si>
  <si>
    <t>IT - Software</t>
  </si>
  <si>
    <t>INE018A01030</t>
  </si>
  <si>
    <t>Larsen &amp; Toubro Limited</t>
  </si>
  <si>
    <t>Construction</t>
  </si>
  <si>
    <t>INE263A01024</t>
  </si>
  <si>
    <t>Bharat Electronics Limited</t>
  </si>
  <si>
    <t>Aerospace &amp; Defense</t>
  </si>
  <si>
    <t>INE995S01015</t>
  </si>
  <si>
    <t>Niva Bupa Health Insurance Company Ltd.</t>
  </si>
  <si>
    <t>INE002A01018</t>
  </si>
  <si>
    <t>Reliance Industries Limited</t>
  </si>
  <si>
    <t>Petroleum Products</t>
  </si>
  <si>
    <t>INE787D01026</t>
  </si>
  <si>
    <t>Balkrishna Industries Limited</t>
  </si>
  <si>
    <t>Auto Components</t>
  </si>
  <si>
    <t>INE371P01015</t>
  </si>
  <si>
    <t>Amber Enterprises India Limited</t>
  </si>
  <si>
    <t>Consumer Durables</t>
  </si>
  <si>
    <t>INE009A01021</t>
  </si>
  <si>
    <t>Infosys Limited</t>
  </si>
  <si>
    <t>INE795G01014</t>
  </si>
  <si>
    <t>HDFC Life Insurance Company Limited</t>
  </si>
  <si>
    <t>INE585B01010</t>
  </si>
  <si>
    <t>Maruti Suzuki India Limited</t>
  </si>
  <si>
    <t>Automobiles</t>
  </si>
  <si>
    <t>INE743M01012</t>
  </si>
  <si>
    <t>RHI MAGNESITA INDIA LIMITED</t>
  </si>
  <si>
    <t>Industrial Products</t>
  </si>
  <si>
    <t>INE397D01024</t>
  </si>
  <si>
    <t>Bharti Airtel Limited</t>
  </si>
  <si>
    <t>Telecom - Services</t>
  </si>
  <si>
    <t>INE154A01025</t>
  </si>
  <si>
    <t>ITC Limited</t>
  </si>
  <si>
    <t>Diversified FMCG</t>
  </si>
  <si>
    <t>INE718I01012</t>
  </si>
  <si>
    <t>JSW Cement Limited</t>
  </si>
  <si>
    <t>Cement &amp; Cement Products</t>
  </si>
  <si>
    <t>INE233B01017</t>
  </si>
  <si>
    <t>Blue Dart Express Limited</t>
  </si>
  <si>
    <t>Transport Services</t>
  </si>
  <si>
    <t>INE398R01022</t>
  </si>
  <si>
    <t>Syngene International Limited</t>
  </si>
  <si>
    <t>Healthcare Services</t>
  </si>
  <si>
    <t>INE227W01023</t>
  </si>
  <si>
    <t>Clean Science and Technology Limited</t>
  </si>
  <si>
    <t>Chemicals &amp; Petrochemicals</t>
  </si>
  <si>
    <t>INE230A01023</t>
  </si>
  <si>
    <t>EIH Limited</t>
  </si>
  <si>
    <t>Leisure Services</t>
  </si>
  <si>
    <t>INE640A01023</t>
  </si>
  <si>
    <t>SKF India Limited</t>
  </si>
  <si>
    <t>INE373A01013</t>
  </si>
  <si>
    <t>BASF India Limited</t>
  </si>
  <si>
    <t>INE079A01024</t>
  </si>
  <si>
    <t>Ambuja Cements Limited</t>
  </si>
  <si>
    <t>INE101A01026</t>
  </si>
  <si>
    <t>Mahindra &amp; Mahindra Limited</t>
  </si>
  <si>
    <t>INE00H001014</t>
  </si>
  <si>
    <t>SWIGGY LIMITED</t>
  </si>
  <si>
    <t>Retailing</t>
  </si>
  <si>
    <t>INE148G01016</t>
  </si>
  <si>
    <t>Asset Reconstruction Company (India)Ltd</t>
  </si>
  <si>
    <t>Finance</t>
  </si>
  <si>
    <t>INE245A01021</t>
  </si>
  <si>
    <t>The Tata Power Company Limited</t>
  </si>
  <si>
    <t>Power</t>
  </si>
  <si>
    <t>INE152A01029</t>
  </si>
  <si>
    <t>Thermax Limited</t>
  </si>
  <si>
    <t>Electrical Equipment</t>
  </si>
  <si>
    <t>INE379A01028</t>
  </si>
  <si>
    <t>ITC Hotels Limited</t>
  </si>
  <si>
    <t>INE299U01018</t>
  </si>
  <si>
    <t>Crompton Greaves Consumer Electrical Ltd</t>
  </si>
  <si>
    <t>INE462A01022</t>
  </si>
  <si>
    <t>Bayer Cropscience Limited</t>
  </si>
  <si>
    <t>Fertilizers &amp; Agrochemicals</t>
  </si>
  <si>
    <t>INE540L01014</t>
  </si>
  <si>
    <t>Alkem Laboratories Limited</t>
  </si>
  <si>
    <t>Pharmaceuticals &amp; Biotechnology</t>
  </si>
  <si>
    <t>INE075A01022</t>
  </si>
  <si>
    <t>Wipro Limited</t>
  </si>
  <si>
    <t>INE038A01020</t>
  </si>
  <si>
    <t>Hindalco Industries Limited</t>
  </si>
  <si>
    <t>Non - Ferrous Metals</t>
  </si>
  <si>
    <t>INE970X01018</t>
  </si>
  <si>
    <t>Lemon Tree Hotels Limited</t>
  </si>
  <si>
    <t>INE488A01050</t>
  </si>
  <si>
    <t>Chemplast Sanmar Ltd</t>
  </si>
  <si>
    <t>INE102D01028</t>
  </si>
  <si>
    <t>Godrej Consumer Products Limited</t>
  </si>
  <si>
    <t>Personal Products</t>
  </si>
  <si>
    <t>INE725G01011</t>
  </si>
  <si>
    <t>ICRA LIMITED</t>
  </si>
  <si>
    <t>Capital Markets</t>
  </si>
  <si>
    <t>INE085A01013</t>
  </si>
  <si>
    <t>Chambal Fertilizers &amp; Chemicals Limited</t>
  </si>
  <si>
    <t>INE974X01010</t>
  </si>
  <si>
    <t>TUBE INVESTMENTS OF INDIA LTD</t>
  </si>
  <si>
    <t>INE395N01027</t>
  </si>
  <si>
    <t>TVS Supply Chain Solutions Limited</t>
  </si>
  <si>
    <t>INE786A01032</t>
  </si>
  <si>
    <t>JK Lakshmi Cement Limited</t>
  </si>
  <si>
    <t>INE100A01010</t>
  </si>
  <si>
    <t>Atul Limited</t>
  </si>
  <si>
    <t>INE749A01030</t>
  </si>
  <si>
    <t>Jindal Steel Limited</t>
  </si>
  <si>
    <t>Ferrous Metals</t>
  </si>
  <si>
    <t>INE053A01029</t>
  </si>
  <si>
    <t>The Indian Hotels Company Limited</t>
  </si>
  <si>
    <t>INE0KCE01017</t>
  </si>
  <si>
    <t>EUREKA FORBES LTD</t>
  </si>
  <si>
    <t>INE726G01019</t>
  </si>
  <si>
    <t>ICICI Prudential Life Insurance Company</t>
  </si>
  <si>
    <t>INE089A01031</t>
  </si>
  <si>
    <t>Dr. Reddy's Laboratories Limited</t>
  </si>
  <si>
    <t>INE260D01016</t>
  </si>
  <si>
    <t>Olectra Greentech Limited</t>
  </si>
  <si>
    <t>INE16NZ01023</t>
  </si>
  <si>
    <t>Orkla India Limited</t>
  </si>
  <si>
    <t>Food Products</t>
  </si>
  <si>
    <t>INE877F01012</t>
  </si>
  <si>
    <t>PTC India Limited</t>
  </si>
  <si>
    <t>Sub Total</t>
  </si>
  <si>
    <t>(b) Unlisted</t>
  </si>
  <si>
    <t>NIL</t>
  </si>
  <si>
    <t>Real Est Inv Trust</t>
  </si>
  <si>
    <t>Infra Inv Trust</t>
  </si>
  <si>
    <t>Total</t>
  </si>
  <si>
    <t>DEBT INSTRUMENTS</t>
  </si>
  <si>
    <t>(a) Listed / awaiting listing on Stock Exchanges</t>
  </si>
  <si>
    <t>(b) Privately placed / Unlisted</t>
  </si>
  <si>
    <t>(c) Securitized Debt Instruments</t>
  </si>
  <si>
    <t>(d) Government Securities / SDL</t>
  </si>
  <si>
    <t>Others</t>
  </si>
  <si>
    <t>MONEY MARKET INSTRUMENTS</t>
  </si>
  <si>
    <t>TREPS</t>
  </si>
  <si>
    <t>The Clearing Corporation of India Ltd. 01-OCT-2026</t>
  </si>
  <si>
    <t>01-OCT-2026</t>
  </si>
  <si>
    <t>Reverse Repo Instrument</t>
  </si>
  <si>
    <t>Preference share</t>
  </si>
  <si>
    <t>Cash &amp; Cash Equivalents</t>
  </si>
  <si>
    <t>Net Receivable/Payable</t>
  </si>
  <si>
    <t>Grand Total</t>
  </si>
  <si>
    <t>NOTES :</t>
  </si>
  <si>
    <t>Net Asset Values per unit as follows - Plan/Option</t>
  </si>
  <si>
    <t>Plan/Option</t>
  </si>
  <si>
    <t>As on September 30, 2026</t>
  </si>
  <si>
    <t>As on July 31, 2026</t>
  </si>
  <si>
    <t>REGULAR PLAN GROWTH</t>
  </si>
  <si>
    <t>(Rs.)</t>
  </si>
  <si>
    <t>DIRECT PLAN GROWTH</t>
  </si>
  <si>
    <t>REGULAR PLAN IDCW</t>
  </si>
  <si>
    <t>* Allotment date - 06-05-2026</t>
  </si>
  <si>
    <t>Dividend declared during the period (Gross)-Plan is NIL</t>
  </si>
  <si>
    <t>Bonus declared during the period is Nil</t>
  </si>
  <si>
    <t>Total Securities classified as below investment grade or default and provided for and its percentage to Net Assets is Nil</t>
  </si>
  <si>
    <t>Total Value of Illiquid Equity Shares and its percentage to Net Assets is Nil</t>
  </si>
  <si>
    <t>Total investments in foreign securities/ADRs/GDRs at the end of the period is Nil</t>
  </si>
  <si>
    <t>Details of Transactions of Repo in Corporate Debt Securities is Nil</t>
  </si>
  <si>
    <t>Portfolio Turnover Ratio is not computed since the Scheme has not completed 1 year from its inception.</t>
  </si>
  <si>
    <t>Details of Tranactions of Credit Default Swaps(CDS) is Nil</t>
  </si>
  <si>
    <t>Details of hedging positions through Interest Rate Derivatives (IRS/IRF) is Nil</t>
  </si>
  <si>
    <t>Amount parked in Short Term Deposits is Nil</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</si>
  <si>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</si>
  <si>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</si>
  <si>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</si>
  <si>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</si>
  <si>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Futures positions as on September 30, 2026:</t>
  </si>
  <si>
    <t xml:space="preserve">Underlying </t>
  </si>
  <si>
    <t>Long / Short</t>
  </si>
  <si>
    <t xml:space="preserve">Futures Price 
when purchased </t>
  </si>
  <si>
    <t xml:space="preserve">Current price 
of the contract </t>
  </si>
  <si>
    <t xml:space="preserve">Margin 
maintained in 
Rs. Lakhs </t>
  </si>
  <si>
    <t>Godrej Consumer Products Limited 27/10/2026</t>
  </si>
  <si>
    <t>Long</t>
  </si>
  <si>
    <t>State Bank of India 27/10/2026</t>
  </si>
  <si>
    <t>Non Hedging Positions through futures as on September 30, 2026:</t>
  </si>
  <si>
    <t>Total 0% of existing assets hedged through futures as on 30/09/2026</t>
  </si>
  <si>
    <t>For the month ended September 30, 2026, following are the hedging transactions through futures which have been squared off / expired :</t>
  </si>
  <si>
    <t>Total number of contracts where futures were bought</t>
  </si>
  <si>
    <t>Total number of contracts where futures were sold</t>
  </si>
  <si>
    <t>Gross notional value of contracts where futures were bought (Rs. In Lakhs)</t>
  </si>
  <si>
    <t>Gross notional value of contracts where futures were sold (Rs. In Lakhs)</t>
  </si>
  <si>
    <t>Net Profit /(Loss) on all contracts combined (Rs.in Lakhs)</t>
  </si>
  <si>
    <t>Total exposure due to futures (non hedging positions) was 2.73% of net assets as on 30/09/2026</t>
  </si>
  <si>
    <t>For the month ended September 30, 2026, following are the non-hedging transactions through futures which have been squared off / expired :</t>
  </si>
  <si>
    <t>Options positions as on Septeber 30, 2026:</t>
  </si>
  <si>
    <t xml:space="preserve">Options Price 
when purchased </t>
  </si>
  <si>
    <t>Total 0% of existing assets hedged through Options as on 30/09/2026</t>
  </si>
  <si>
    <t>For the month ended September 30, 2026, following are the hedging transactions through Options which have been squared off / expired :</t>
  </si>
  <si>
    <t>Total number of contracts where Options were bought</t>
  </si>
  <si>
    <t>Total number of contracts where Options were sold</t>
  </si>
  <si>
    <t>Gross notional value of contracts where Options were bought (Rs. In Lakhs)</t>
  </si>
  <si>
    <t>Gross notional value of contracts where Options were sold (Rs. In Lakhs)</t>
  </si>
  <si>
    <t>Total exposure due to Options (non hedging positions) was 0% of net assets as on 30/09/2026</t>
  </si>
  <si>
    <t>For the month ended September 30, 2026, following are the non-hedging transactions through Options which have been squared off / expired :</t>
  </si>
  <si>
    <t>This product is suitable for investors who are seeking</t>
  </si>
  <si>
    <t>To generate long-term capital appreciation by investing in a diversified portfolio of equity and equity-related instruments while employing limited short exposure through derivatives.</t>
  </si>
  <si>
    <t>Risk-band*</t>
  </si>
  <si>
    <t>Benchmark Risk- band (as applicable)</t>
  </si>
  <si>
    <t>NIFTY 500 Total Return Index (TRI)</t>
  </si>
  <si>
    <t>*The Risk Band has been as specified by AMFI. Product labelling assigned during the New Fund Offer (NFO) is based on internal assessment of the investment strategy characteristics or model portfolio and the same may vary post NFO when the actual investments are made.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</si>
</sst>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43" formatCode="_ * #,##0.00_ ;_ * \-#,##0.00_ ;_ * &quot;-&quot;??_ ;_ @_ "/>
    <numFmt numFmtId="164" formatCode="#,##0.00%"/>
    <numFmt numFmtId="165" formatCode="#,##0.0000%"/>
    <numFmt numFmtId="166" formatCode="0.00\%"/>
    <numFmt numFmtId="167" formatCode="0.00&quot;%&quot;"/>
    <numFmt numFmtId="168" formatCode="#,##0.00;\(#,##0.00\)"/>
    <numFmt numFmtId="169" formatCode="#,##0%"/>
    <numFmt numFmtId="170" formatCode="_(* #,##0.00_);_(* \(#,##0.00\);_(* &quot;-&quot;??_);_(@_)"/>
    <numFmt numFmtId="171" formatCode="0.0000"/>
    <numFmt numFmtId="172" formatCode="_(* #,##0_);_(* \(#,##0\);_(* &quot;-&quot;??_);_(@_)"/>
    <numFmt numFmtId="173" formatCode="_-* #,##0.00_-;\-* #,##0.00_-;_-* &quot;-&quot;??_-;_-@_-"/>
  </numFmts>
  <fonts count="17" x14ac:knownFonts="1">
    <font>
      <sz val="11"/>
      <color theme="1"/>
      <name val="Calibri"/>
      <family val="2"/>
    </font>
    <font>
      <sz val="11"/>
      <color theme="1"/>
      <name val="Calibri"/>
      <family val="2"/>
      <scheme val="minor"/>
    </font>
    <font>
      <sz val="11"/>
      <color theme="0"/>
      <name val="Calibri"/>
      <family val="2"/>
      <scheme val="minor"/>
    </font>
    <font>
      <b/>
      <sz val="11"/>
      <color indexed="9"/>
      <name val="Calibri"/>
      <family val="2"/>
      <scheme val="minor"/>
    </font>
    <font>
      <sz val="10"/>
      <name val="Mangal"/>
      <family val="2"/>
    </font>
    <font>
      <b/>
      <sz val="11"/>
      <color indexed="8"/>
      <name val="Calibri"/>
      <family val="2"/>
      <scheme val="minor"/>
    </font>
    <font>
      <sz val="11"/>
      <color indexed="8"/>
      <name val="Calibri"/>
      <family val="2"/>
      <scheme val="minor"/>
    </font>
    <font>
      <b/>
      <sz val="11"/>
      <color indexed="72"/>
      <name val="Calibri"/>
      <family val="2"/>
      <scheme val="minor"/>
    </font>
    <font>
      <sz val="11"/>
      <color indexed="8"/>
      <name val="Calibri"/>
      <family val="2"/>
    </font>
    <font>
      <sz val="11"/>
      <color indexed="72"/>
      <name val="Calibri"/>
      <family val="2"/>
      <scheme val="minor"/>
    </font>
    <font>
      <b/>
      <sz val="11"/>
      <name val="Calibri"/>
      <family val="2"/>
      <scheme val="minor"/>
    </font>
    <font>
      <sz val="11"/>
      <name val="Calibri"/>
      <family val="2"/>
      <scheme val="minor"/>
    </font>
    <font>
      <b/>
      <sz val="11"/>
      <color indexed="56"/>
      <name val="Calibri"/>
      <family val="2"/>
      <scheme val="minor"/>
    </font>
    <font>
      <sz val="10"/>
      <name val="Arial"/>
      <family val="2"/>
    </font>
    <font>
      <sz val="10"/>
      <name val="Century Gothic"/>
      <family val="2"/>
    </font>
    <font>
      <sz val="11"/>
      <color theme="1"/>
      <name val="Century Gothic"/>
      <family val="2"/>
    </font>
    <font>
      <i/>
      <sz val="11"/>
      <color indexed="8"/>
      <name val="Calibri"/>
      <family val="2"/>
      <scheme val="minor"/>
    </font>
  </fonts>
  <fills count="5">
    <fill>
      <patternFill patternType="none"/>
    </fill>
    <fill>
      <patternFill patternType="gray125"/>
    </fill>
    <fill>
      <patternFill patternType="solid">
        <fgColor indexed="8"/>
        <bgColor indexed="64"/>
      </patternFill>
    </fill>
    <fill>
      <patternFill patternType="solid">
        <fgColor indexed="9"/>
        <bgColor indexed="58"/>
      </patternFill>
    </fill>
    <fill>
      <patternFill patternType="solid">
        <fgColor indexed="23"/>
        <bgColor indexed="58"/>
      </patternFill>
    </fill>
  </fills>
  <borders count="7">
    <border>
      <left/>
      <right/>
      <top/>
      <bottom/>
      <diagonal/>
    </border>
    <border>
      <left/>
      <right/>
      <top/>
      <bottom style="thin">
        <color indexed="8"/>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0">
    <xf numFmtId="0" fontId="0" fillId="0" borderId="0"/>
    <xf numFmtId="170" fontId="8" fillId="0" borderId="0" applyFont="0" applyFill="0" applyBorder="0" applyAlignment="0" applyProtection="0"/>
    <xf numFmtId="9" fontId="8" fillId="0" borderId="0" applyFont="0" applyFill="0" applyBorder="0" applyAlignment="0" applyProtection="0"/>
    <xf numFmtId="0" fontId="4" fillId="0" borderId="0" applyNumberFormat="0" applyFill="0" applyBorder="0" applyProtection="0"/>
    <xf numFmtId="0" fontId="13" fillId="0" borderId="0"/>
    <xf numFmtId="170" fontId="13" fillId="0" borderId="0" applyFont="0" applyFill="0" applyBorder="0" applyAlignment="0" applyProtection="0"/>
    <xf numFmtId="0" fontId="13" fillId="0" borderId="0"/>
    <xf numFmtId="173" fontId="13" fillId="0" borderId="0" applyFont="0" applyFill="0" applyBorder="0" applyAlignment="0" applyProtection="0"/>
    <xf numFmtId="0" fontId="8" fillId="0" borderId="0"/>
    <xf numFmtId="0" fontId="8" fillId="0" borderId="0"/>
  </cellStyleXfs>
  <cellXfs count="115">
    <xf numFmtId="0" fontId="0" fillId="0" borderId="0" xfId="0"/>
    <xf numFmtId="49" fontId="5" fillId="3" borderId="2" xfId="3" applyNumberFormat="1" applyFont="1" applyFill="1" applyBorder="1" applyAlignment="1" applyProtection="1">
      <alignment horizontal="center" vertical="center" wrapText="1"/>
    </xf>
    <xf numFmtId="49" fontId="5" fillId="3" borderId="2" xfId="3" applyNumberFormat="1" applyFont="1" applyFill="1" applyBorder="1" applyAlignment="1" applyProtection="1">
      <alignment horizontal="left" vertical="center"/>
    </xf>
    <xf numFmtId="49" fontId="5" fillId="3" borderId="2" xfId="3" applyNumberFormat="1" applyFont="1" applyFill="1" applyBorder="1" applyAlignment="1" applyProtection="1">
      <alignment horizontal="left" vertical="center" wrapText="1"/>
    </xf>
    <xf numFmtId="3" fontId="5" fillId="3" borderId="2" xfId="3" applyNumberFormat="1" applyFont="1" applyFill="1" applyBorder="1" applyAlignment="1" applyProtection="1">
      <alignment horizontal="right" vertical="center" wrapText="1"/>
    </xf>
    <xf numFmtId="4" fontId="5" fillId="3" borderId="2" xfId="3" applyNumberFormat="1" applyFont="1" applyFill="1" applyBorder="1" applyAlignment="1" applyProtection="1">
      <alignment horizontal="right" vertical="center" wrapText="1"/>
    </xf>
    <xf numFmtId="0" fontId="6" fillId="0" borderId="2" xfId="0" applyFont="1" applyBorder="1"/>
    <xf numFmtId="0" fontId="7" fillId="0" borderId="2" xfId="0" applyFont="1" applyBorder="1" applyAlignment="1">
      <alignment horizontal="left" vertical="top"/>
    </xf>
    <xf numFmtId="4" fontId="6" fillId="0" borderId="2" xfId="0" applyNumberFormat="1" applyFont="1" applyBorder="1"/>
    <xf numFmtId="10" fontId="6" fillId="0" borderId="2" xfId="2" applyNumberFormat="1" applyFont="1" applyFill="1" applyBorder="1" applyAlignment="1"/>
    <xf numFmtId="10" fontId="6" fillId="0" borderId="2" xfId="2" applyNumberFormat="1" applyFont="1" applyFill="1" applyBorder="1" applyAlignment="1">
      <alignment horizontal="right"/>
    </xf>
    <xf numFmtId="0" fontId="9" fillId="0" borderId="2" xfId="0" applyFont="1" applyBorder="1" applyAlignment="1">
      <alignment horizontal="right" vertical="top"/>
    </xf>
    <xf numFmtId="4" fontId="5" fillId="0" borderId="2" xfId="0" applyNumberFormat="1" applyFont="1" applyBorder="1" applyAlignment="1">
      <alignment horizontal="right"/>
    </xf>
    <xf numFmtId="0" fontId="9" fillId="0" borderId="2" xfId="0" applyFont="1" applyBorder="1" applyAlignment="1">
      <alignment horizontal="left" vertical="top"/>
    </xf>
    <xf numFmtId="4" fontId="9" fillId="0" borderId="2" xfId="0" applyNumberFormat="1" applyFont="1" applyBorder="1" applyAlignment="1">
      <alignment horizontal="right" vertical="top"/>
    </xf>
    <xf numFmtId="164" fontId="9" fillId="0" borderId="2" xfId="0" applyNumberFormat="1" applyFont="1" applyBorder="1" applyAlignment="1">
      <alignment horizontal="right" vertical="top"/>
    </xf>
    <xf numFmtId="10" fontId="9" fillId="0" borderId="2" xfId="2" applyNumberFormat="1" applyFont="1" applyFill="1" applyBorder="1" applyAlignment="1" applyProtection="1">
      <alignment horizontal="right" vertical="top"/>
    </xf>
    <xf numFmtId="0" fontId="5" fillId="0" borderId="2" xfId="0" applyFont="1" applyBorder="1"/>
    <xf numFmtId="4" fontId="5" fillId="0" borderId="2" xfId="0" applyNumberFormat="1" applyFont="1" applyBorder="1"/>
    <xf numFmtId="4" fontId="10" fillId="0" borderId="2" xfId="0" applyNumberFormat="1" applyFont="1" applyBorder="1" applyAlignment="1">
      <alignment horizontal="right" vertical="top"/>
    </xf>
    <xf numFmtId="164" fontId="10" fillId="0" borderId="2" xfId="0" applyNumberFormat="1" applyFont="1" applyBorder="1" applyAlignment="1">
      <alignment horizontal="right" vertical="top"/>
    </xf>
    <xf numFmtId="10" fontId="11" fillId="0" borderId="2" xfId="2" applyNumberFormat="1" applyFont="1" applyFill="1" applyBorder="1" applyAlignment="1" applyProtection="1">
      <alignment horizontal="right" vertical="top"/>
    </xf>
    <xf numFmtId="10" fontId="10" fillId="0" borderId="2" xfId="2" applyNumberFormat="1" applyFont="1" applyFill="1" applyBorder="1" applyAlignment="1" applyProtection="1">
      <alignment horizontal="right" vertical="top"/>
    </xf>
    <xf numFmtId="0" fontId="5" fillId="0" borderId="0" xfId="0" applyFont="1"/>
    <xf numFmtId="165" fontId="10" fillId="0" borderId="2" xfId="0" applyNumberFormat="1" applyFont="1" applyBorder="1" applyAlignment="1">
      <alignment horizontal="right" vertical="top"/>
    </xf>
    <xf numFmtId="166" fontId="6" fillId="0" borderId="2" xfId="0" applyNumberFormat="1" applyFont="1" applyBorder="1"/>
    <xf numFmtId="0" fontId="6" fillId="0" borderId="2" xfId="0" applyFont="1" applyBorder="1" applyAlignment="1">
      <alignment horizontal="right"/>
    </xf>
    <xf numFmtId="4" fontId="9" fillId="0" borderId="2" xfId="0" applyNumberFormat="1" applyFont="1" applyBorder="1" applyAlignment="1">
      <alignment horizontal="left" vertical="top"/>
    </xf>
    <xf numFmtId="166" fontId="10" fillId="0" borderId="2" xfId="0" applyNumberFormat="1" applyFont="1" applyBorder="1" applyAlignment="1">
      <alignment horizontal="right" vertical="top"/>
    </xf>
    <xf numFmtId="4" fontId="7" fillId="0" borderId="2" xfId="0" applyNumberFormat="1" applyFont="1" applyBorder="1" applyAlignment="1">
      <alignment horizontal="right" vertical="top"/>
    </xf>
    <xf numFmtId="164" fontId="11" fillId="0" borderId="2" xfId="0" applyNumberFormat="1" applyFont="1" applyBorder="1" applyAlignment="1">
      <alignment horizontal="right" vertical="top"/>
    </xf>
    <xf numFmtId="0" fontId="9" fillId="0" borderId="2" xfId="0" applyFont="1" applyBorder="1" applyAlignment="1">
      <alignment horizontal="left" vertical="top" wrapText="1"/>
    </xf>
    <xf numFmtId="0" fontId="9" fillId="0" borderId="2" xfId="0" applyFont="1" applyBorder="1" applyAlignment="1">
      <alignment horizontal="right" vertical="top" wrapText="1"/>
    </xf>
    <xf numFmtId="164" fontId="9" fillId="0" borderId="2" xfId="0" applyNumberFormat="1" applyFont="1" applyBorder="1" applyAlignment="1">
      <alignment horizontal="right" vertical="top" wrapText="1"/>
    </xf>
    <xf numFmtId="164" fontId="11" fillId="0" borderId="2" xfId="0" applyNumberFormat="1" applyFont="1" applyBorder="1" applyAlignment="1">
      <alignment horizontal="right"/>
    </xf>
    <xf numFmtId="164" fontId="10" fillId="0" borderId="2" xfId="0" applyNumberFormat="1" applyFont="1" applyBorder="1" applyAlignment="1">
      <alignment horizontal="right"/>
    </xf>
    <xf numFmtId="0" fontId="10" fillId="0" borderId="2" xfId="0" applyFont="1" applyBorder="1" applyAlignment="1">
      <alignment horizontal="left" vertical="top" wrapText="1"/>
    </xf>
    <xf numFmtId="167" fontId="10" fillId="0" borderId="2" xfId="0" applyNumberFormat="1" applyFont="1" applyBorder="1" applyAlignment="1">
      <alignment horizontal="right" vertical="top"/>
    </xf>
    <xf numFmtId="168" fontId="9" fillId="0" borderId="2" xfId="0" applyNumberFormat="1" applyFont="1" applyBorder="1" applyAlignment="1">
      <alignment horizontal="right" vertical="top" wrapText="1"/>
    </xf>
    <xf numFmtId="166" fontId="9" fillId="0" borderId="2" xfId="0" applyNumberFormat="1" applyFont="1" applyBorder="1" applyAlignment="1">
      <alignment horizontal="right" vertical="top" wrapText="1"/>
    </xf>
    <xf numFmtId="4" fontId="5" fillId="0" borderId="2" xfId="0" applyNumberFormat="1" applyFont="1" applyBorder="1" applyAlignment="1">
      <alignment horizontal="right" vertical="top"/>
    </xf>
    <xf numFmtId="4" fontId="11" fillId="0" borderId="2" xfId="0" applyNumberFormat="1" applyFont="1" applyBorder="1" applyAlignment="1">
      <alignment horizontal="right" vertical="top"/>
    </xf>
    <xf numFmtId="0" fontId="10" fillId="0" borderId="2" xfId="0" applyFont="1" applyBorder="1" applyAlignment="1">
      <alignment wrapText="1"/>
    </xf>
    <xf numFmtId="164" fontId="5" fillId="0" borderId="0" xfId="0" applyNumberFormat="1" applyFont="1"/>
    <xf numFmtId="169" fontId="11" fillId="0" borderId="2" xfId="0" applyNumberFormat="1" applyFont="1" applyBorder="1" applyAlignment="1">
      <alignment horizontal="right" vertical="top"/>
    </xf>
    <xf numFmtId="169" fontId="10" fillId="0" borderId="2" xfId="0" applyNumberFormat="1" applyFont="1" applyBorder="1" applyAlignment="1">
      <alignment horizontal="right" vertical="top"/>
    </xf>
    <xf numFmtId="0" fontId="1" fillId="0" borderId="2" xfId="0" applyFont="1" applyBorder="1"/>
    <xf numFmtId="0" fontId="1" fillId="0" borderId="2" xfId="0" applyFont="1" applyBorder="1" applyAlignment="1">
      <alignment horizontal="right"/>
    </xf>
    <xf numFmtId="0" fontId="1" fillId="0" borderId="0" xfId="0" applyFont="1"/>
    <xf numFmtId="0" fontId="12" fillId="0" borderId="0" xfId="0" applyFont="1"/>
    <xf numFmtId="0" fontId="10" fillId="0" borderId="0" xfId="4" applyFont="1"/>
    <xf numFmtId="0" fontId="11" fillId="0" borderId="0" xfId="0" applyFont="1"/>
    <xf numFmtId="170" fontId="10" fillId="0" borderId="0" xfId="5" applyFont="1" applyFill="1" applyBorder="1" applyAlignment="1">
      <alignment horizontal="right"/>
    </xf>
    <xf numFmtId="0" fontId="11" fillId="0" borderId="0" xfId="0" applyFont="1" applyAlignment="1">
      <alignment horizontal="right"/>
    </xf>
    <xf numFmtId="4" fontId="11" fillId="0" borderId="0" xfId="0" applyNumberFormat="1" applyFont="1"/>
    <xf numFmtId="0" fontId="14" fillId="0" borderId="0" xfId="0" applyFont="1"/>
    <xf numFmtId="0" fontId="10" fillId="0" borderId="0" xfId="0" applyFont="1"/>
    <xf numFmtId="0" fontId="11" fillId="0" borderId="0" xfId="6" applyFont="1" applyAlignment="1">
      <alignment horizontal="left" vertical="top"/>
    </xf>
    <xf numFmtId="0" fontId="11" fillId="0" borderId="0" xfId="6" applyFont="1" applyAlignment="1">
      <alignment horizontal="left" vertical="top" wrapText="1"/>
    </xf>
    <xf numFmtId="4" fontId="11" fillId="0" borderId="0" xfId="6" applyNumberFormat="1" applyFont="1" applyAlignment="1">
      <alignment horizontal="left" vertical="top" wrapText="1"/>
    </xf>
    <xf numFmtId="0" fontId="10" fillId="0" borderId="0" xfId="0" applyFont="1" applyAlignment="1">
      <alignment horizontal="center"/>
    </xf>
    <xf numFmtId="0" fontId="2" fillId="0" borderId="0" xfId="0" applyFont="1"/>
    <xf numFmtId="0" fontId="11" fillId="0" borderId="0" xfId="0" applyFont="1" applyAlignment="1">
      <alignment horizontal="center"/>
    </xf>
    <xf numFmtId="171" fontId="11" fillId="0" borderId="0" xfId="0" applyNumberFormat="1" applyFont="1" applyAlignment="1">
      <alignment horizontal="center"/>
    </xf>
    <xf numFmtId="0" fontId="10" fillId="0" borderId="0" xfId="0" applyFont="1" applyAlignment="1">
      <alignment wrapText="1"/>
    </xf>
    <xf numFmtId="0" fontId="11" fillId="0" borderId="0" xfId="0" applyFont="1" applyAlignment="1">
      <alignment horizontal="left"/>
    </xf>
    <xf numFmtId="172" fontId="11" fillId="0" borderId="0" xfId="5" applyNumberFormat="1" applyFont="1" applyFill="1" applyAlignment="1"/>
    <xf numFmtId="172" fontId="11" fillId="0" borderId="0" xfId="5" applyNumberFormat="1" applyFont="1" applyFill="1" applyBorder="1" applyAlignment="1"/>
    <xf numFmtId="172" fontId="11" fillId="0" borderId="0" xfId="7" applyNumberFormat="1" applyFont="1" applyFill="1" applyBorder="1" applyAlignment="1"/>
    <xf numFmtId="0" fontId="6" fillId="0" borderId="0" xfId="8" applyFont="1"/>
    <xf numFmtId="0" fontId="10" fillId="0" borderId="0" xfId="0" applyFont="1" applyAlignment="1">
      <alignment horizontal="left" wrapText="1"/>
    </xf>
    <xf numFmtId="172" fontId="10" fillId="0" borderId="0" xfId="5" applyNumberFormat="1" applyFont="1" applyFill="1" applyBorder="1" applyAlignment="1">
      <alignment horizontal="right"/>
    </xf>
    <xf numFmtId="0" fontId="15" fillId="0" borderId="0" xfId="0" applyFont="1"/>
    <xf numFmtId="0" fontId="6" fillId="0" borderId="0" xfId="9" applyFont="1" applyAlignment="1">
      <alignment horizontal="left" vertical="top"/>
    </xf>
    <xf numFmtId="0" fontId="10" fillId="0" borderId="0" xfId="6" applyFont="1"/>
    <xf numFmtId="49" fontId="3" fillId="4" borderId="2" xfId="3" applyNumberFormat="1" applyFont="1" applyFill="1" applyBorder="1" applyAlignment="1" applyProtection="1">
      <alignment horizontal="center" vertical="center"/>
    </xf>
    <xf numFmtId="49" fontId="3" fillId="4" borderId="2" xfId="3" applyNumberFormat="1" applyFont="1" applyFill="1" applyBorder="1" applyAlignment="1" applyProtection="1">
      <alignment horizontal="center" vertical="center" wrapText="1"/>
    </xf>
    <xf numFmtId="3" fontId="3" fillId="4" borderId="2" xfId="3" applyNumberFormat="1" applyFont="1" applyFill="1" applyBorder="1" applyAlignment="1" applyProtection="1">
      <alignment horizontal="center" wrapText="1"/>
    </xf>
    <xf numFmtId="3" fontId="3" fillId="4" borderId="2" xfId="3" applyNumberFormat="1" applyFont="1" applyFill="1" applyBorder="1" applyAlignment="1" applyProtection="1">
      <alignment horizontal="center" vertical="center" wrapText="1"/>
    </xf>
    <xf numFmtId="43" fontId="1" fillId="0" borderId="0" xfId="0" applyNumberFormat="1" applyFont="1"/>
    <xf numFmtId="0" fontId="9" fillId="0" borderId="2" xfId="0" applyFont="1" applyBorder="1" applyAlignment="1">
      <alignment horizontal="center" vertical="top"/>
    </xf>
    <xf numFmtId="170" fontId="9" fillId="0" borderId="2" xfId="1" applyFont="1" applyBorder="1" applyAlignment="1">
      <alignment horizontal="center" vertical="top"/>
    </xf>
    <xf numFmtId="4" fontId="9" fillId="0" borderId="2" xfId="0" applyNumberFormat="1" applyFont="1" applyBorder="1" applyAlignment="1">
      <alignment horizontal="center" vertical="top" wrapText="1"/>
    </xf>
    <xf numFmtId="2" fontId="9" fillId="0" borderId="2" xfId="0" applyNumberFormat="1" applyFont="1" applyBorder="1" applyAlignment="1">
      <alignment horizontal="center" vertical="top" wrapText="1"/>
    </xf>
    <xf numFmtId="3" fontId="3" fillId="4" borderId="2" xfId="3" applyNumberFormat="1" applyFont="1" applyFill="1" applyBorder="1" applyAlignment="1" applyProtection="1">
      <alignment horizontal="right" vertical="center" wrapText="1"/>
    </xf>
    <xf numFmtId="170" fontId="9" fillId="0" borderId="2" xfId="1" applyFont="1" applyFill="1" applyBorder="1" applyAlignment="1">
      <alignment horizontal="center" vertical="top"/>
    </xf>
    <xf numFmtId="0" fontId="10" fillId="0" borderId="3" xfId="4" applyFont="1" applyBorder="1" applyAlignment="1">
      <alignment horizontal="left"/>
    </xf>
    <xf numFmtId="170" fontId="11" fillId="0" borderId="0" xfId="4" applyNumberFormat="1" applyFont="1"/>
    <xf numFmtId="0" fontId="10" fillId="0" borderId="2" xfId="4" applyFont="1" applyBorder="1"/>
    <xf numFmtId="0" fontId="11" fillId="0" borderId="4" xfId="4" applyFont="1" applyBorder="1" applyAlignment="1">
      <alignment horizontal="left"/>
    </xf>
    <xf numFmtId="0" fontId="11" fillId="0" borderId="5" xfId="4" applyFont="1" applyBorder="1" applyAlignment="1">
      <alignment horizontal="left"/>
    </xf>
    <xf numFmtId="0" fontId="11" fillId="0" borderId="6" xfId="4" applyFont="1" applyBorder="1" applyAlignment="1">
      <alignment horizontal="left"/>
    </xf>
    <xf numFmtId="172" fontId="11" fillId="0" borderId="2" xfId="5" applyNumberFormat="1" applyFont="1" applyFill="1" applyBorder="1"/>
    <xf numFmtId="170" fontId="11" fillId="0" borderId="2" xfId="1" applyFont="1" applyBorder="1"/>
    <xf numFmtId="170" fontId="11" fillId="0" borderId="2" xfId="5" applyFont="1" applyFill="1" applyBorder="1"/>
    <xf numFmtId="0" fontId="11" fillId="0" borderId="0" xfId="4" applyFont="1" applyAlignment="1">
      <alignment wrapText="1"/>
    </xf>
    <xf numFmtId="0" fontId="11" fillId="0" borderId="0" xfId="4" applyFont="1" applyAlignment="1">
      <alignment horizontal="left" wrapText="1"/>
    </xf>
    <xf numFmtId="0" fontId="11" fillId="0" borderId="0" xfId="4" applyFont="1"/>
    <xf numFmtId="0" fontId="10" fillId="0" borderId="3" xfId="4" applyFont="1" applyBorder="1" applyAlignment="1">
      <alignment vertical="top"/>
    </xf>
    <xf numFmtId="0" fontId="10" fillId="0" borderId="3" xfId="4" applyFont="1" applyBorder="1" applyAlignment="1">
      <alignment vertical="top" wrapText="1"/>
    </xf>
    <xf numFmtId="0" fontId="10" fillId="0" borderId="4" xfId="4" applyFont="1" applyBorder="1"/>
    <xf numFmtId="0" fontId="10" fillId="0" borderId="5" xfId="4" applyFont="1" applyBorder="1"/>
    <xf numFmtId="0" fontId="10" fillId="0" borderId="6" xfId="4" applyFont="1" applyBorder="1"/>
    <xf numFmtId="0" fontId="11" fillId="0" borderId="2" xfId="4" applyFont="1" applyBorder="1"/>
    <xf numFmtId="4" fontId="11" fillId="0" borderId="2" xfId="4" applyNumberFormat="1" applyFont="1" applyBorder="1"/>
    <xf numFmtId="0" fontId="10" fillId="0" borderId="3" xfId="4" applyFont="1" applyBorder="1"/>
    <xf numFmtId="0" fontId="1" fillId="0" borderId="0" xfId="0" applyFont="1" applyAlignment="1">
      <alignment horizontal="left"/>
    </xf>
    <xf numFmtId="0" fontId="10" fillId="0" borderId="3" xfId="4" applyFont="1" applyBorder="1" applyAlignment="1">
      <alignment horizontal="left"/>
    </xf>
    <xf numFmtId="0" fontId="1" fillId="0" borderId="0" xfId="0" applyFont="1" applyAlignment="1">
      <alignment wrapText="1"/>
    </xf>
    <xf numFmtId="0" fontId="0" fillId="0" borderId="0" xfId="0" applyAlignment="1">
      <alignment wrapText="1"/>
    </xf>
    <xf numFmtId="0" fontId="3" fillId="2" borderId="0" xfId="0" applyFont="1" applyFill="1" applyAlignment="1">
      <alignment horizontal="center" wrapText="1"/>
    </xf>
    <xf numFmtId="0" fontId="3" fillId="2" borderId="0" xfId="0" applyFont="1" applyFill="1" applyAlignment="1">
      <alignment horizontal="center"/>
    </xf>
    <xf numFmtId="0" fontId="3" fillId="2" borderId="1" xfId="0" applyFont="1" applyFill="1" applyBorder="1" applyAlignment="1">
      <alignment horizontal="center" vertical="center"/>
    </xf>
    <xf numFmtId="0" fontId="11" fillId="0" borderId="0" xfId="6" applyFont="1" applyAlignment="1">
      <alignment horizontal="left" vertical="top" wrapText="1"/>
    </xf>
    <xf numFmtId="0" fontId="16" fillId="0" borderId="0" xfId="9" applyFont="1" applyAlignment="1">
      <alignment horizontal="left" vertical="top" wrapText="1"/>
    </xf>
  </cellXfs>
  <cellStyles count="10">
    <cellStyle name="Comma" xfId="1" builtinId="3"/>
    <cellStyle name="Comma 3" xfId="5" xr:uid="{4EECC6EE-4FEB-41F5-B22B-A6D33089F6F5}"/>
    <cellStyle name="Comma_Template Portfolio Disclosure - 30.09.2013" xfId="7" xr:uid="{74C67ABF-6AF1-4F37-A715-7FF9C2A2DFF8}"/>
    <cellStyle name="Normal" xfId="0" builtinId="0"/>
    <cellStyle name="Normal 2 2 2" xfId="4" xr:uid="{D6C9DA74-BAB1-405E-9E49-2B5259E73B33}"/>
    <cellStyle name="Normal 2 3 2" xfId="6" xr:uid="{644D59F3-60C4-46C4-A696-6E92E5D9DC5F}"/>
    <cellStyle name="Normal 3" xfId="3" xr:uid="{82A42CC8-78B1-42CE-8847-9214C0A82CA0}"/>
    <cellStyle name="Normal 4_IF" xfId="8" xr:uid="{867A8D37-2D35-424C-96EC-4A9C29B0968C}"/>
    <cellStyle name="Normal 4_LD" xfId="9" xr:uid="{DA25AEA0-DCE2-4B9B-8395-2F8D5FF558DA}"/>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844550</xdr:colOff>
      <xdr:row>190</xdr:row>
      <xdr:rowOff>6350</xdr:rowOff>
    </xdr:from>
    <xdr:to>
      <xdr:col>1</xdr:col>
      <xdr:colOff>2971800</xdr:colOff>
      <xdr:row>195</xdr:row>
      <xdr:rowOff>101599</xdr:rowOff>
    </xdr:to>
    <xdr:pic>
      <xdr:nvPicPr>
        <xdr:cNvPr id="2" name="Picture 1">
          <a:extLst>
            <a:ext uri="{FF2B5EF4-FFF2-40B4-BE49-F238E27FC236}">
              <a16:creationId xmlns:a16="http://schemas.microsoft.com/office/drawing/2014/main" id="{E8834702-E706-499B-BFC5-79C2B62C5B5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44550" y="37782500"/>
          <a:ext cx="3467100" cy="10159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3289300</xdr:colOff>
      <xdr:row>190</xdr:row>
      <xdr:rowOff>19050</xdr:rowOff>
    </xdr:from>
    <xdr:to>
      <xdr:col>4</xdr:col>
      <xdr:colOff>438150</xdr:colOff>
      <xdr:row>195</xdr:row>
      <xdr:rowOff>114299</xdr:rowOff>
    </xdr:to>
    <xdr:pic>
      <xdr:nvPicPr>
        <xdr:cNvPr id="3" name="Picture 2">
          <a:extLst>
            <a:ext uri="{FF2B5EF4-FFF2-40B4-BE49-F238E27FC236}">
              <a16:creationId xmlns:a16="http://schemas.microsoft.com/office/drawing/2014/main" id="{899E2173-7CC8-43AF-A476-C2F57DF0190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629150" y="37795200"/>
          <a:ext cx="3454400" cy="10159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O:\2.%20Operations%20FY%202026-27\PORTFOLIOS\MONTHLY\Sep%202026\SIF\WSIF_PORTFOLIO_V3_REPORT_Sep%202026.xls" TargetMode="External"/><Relationship Id="rId1" Type="http://schemas.openxmlformats.org/officeDocument/2006/relationships/externalLinkPath" Target="WSIF_PORTFOLIO_V3_REPORT_Sep%202026.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ETAILED HOLDING STATEMENT"/>
      <sheetName val="WSLS"/>
      <sheetName val="WSXT"/>
      <sheetName val="Sheet1"/>
      <sheetName val="XDO_METADATA"/>
    </sheetNames>
    <sheetDataSet>
      <sheetData sheetId="0"/>
      <sheetData sheetId="1">
        <row r="7">
          <cell r="F7">
            <v>5.8762306494087424E-2</v>
          </cell>
        </row>
      </sheetData>
      <sheetData sheetId="2"/>
      <sheetData sheetId="3" refreshError="1"/>
      <sheetData sheetId="4"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D365A7-B304-4B29-B532-9AA7570BF28C}">
  <sheetPr>
    <pageSetUpPr autoPageBreaks="0"/>
  </sheetPr>
  <dimension ref="A1:J288"/>
  <sheetViews>
    <sheetView tabSelected="1" zoomScale="90" zoomScaleNormal="90" workbookViewId="0">
      <selection sqref="A1:I1"/>
    </sheetView>
  </sheetViews>
  <sheetFormatPr defaultRowHeight="14.5" x14ac:dyDescent="0.35"/>
  <cols>
    <col min="1" max="1" width="19.1796875" customWidth="1"/>
    <col min="2" max="2" width="47.453125" customWidth="1"/>
    <col min="3" max="3" width="23.1796875" customWidth="1"/>
    <col min="4" max="4" width="19.6328125" bestFit="1" customWidth="1"/>
    <col min="5" max="5" width="15.90625" customWidth="1"/>
    <col min="6" max="6" width="13.54296875" customWidth="1"/>
    <col min="7" max="8" width="16.81640625" customWidth="1"/>
    <col min="9" max="9" width="12.453125" customWidth="1"/>
    <col min="10" max="10" width="8.81640625" customWidth="1"/>
    <col min="249" max="249" width="19.1796875" customWidth="1"/>
    <col min="250" max="250" width="47.453125" customWidth="1"/>
    <col min="251" max="251" width="23.1796875" customWidth="1"/>
    <col min="252" max="252" width="19.6328125" bestFit="1" customWidth="1"/>
    <col min="253" max="253" width="15.90625" customWidth="1"/>
    <col min="254" max="254" width="13.54296875" customWidth="1"/>
    <col min="255" max="256" width="16.81640625" customWidth="1"/>
    <col min="257" max="257" width="12.453125" customWidth="1"/>
    <col min="258" max="258" width="8.81640625" customWidth="1"/>
    <col min="505" max="505" width="19.1796875" customWidth="1"/>
    <col min="506" max="506" width="47.453125" customWidth="1"/>
    <col min="507" max="507" width="23.1796875" customWidth="1"/>
    <col min="508" max="508" width="19.6328125" bestFit="1" customWidth="1"/>
    <col min="509" max="509" width="15.90625" customWidth="1"/>
    <col min="510" max="510" width="13.54296875" customWidth="1"/>
    <col min="511" max="512" width="16.81640625" customWidth="1"/>
    <col min="513" max="513" width="12.453125" customWidth="1"/>
    <col min="514" max="514" width="8.81640625" customWidth="1"/>
    <col min="761" max="761" width="19.1796875" customWidth="1"/>
    <col min="762" max="762" width="47.453125" customWidth="1"/>
    <col min="763" max="763" width="23.1796875" customWidth="1"/>
    <col min="764" max="764" width="19.6328125" bestFit="1" customWidth="1"/>
    <col min="765" max="765" width="15.90625" customWidth="1"/>
    <col min="766" max="766" width="13.54296875" customWidth="1"/>
    <col min="767" max="768" width="16.81640625" customWidth="1"/>
    <col min="769" max="769" width="12.453125" customWidth="1"/>
    <col min="770" max="770" width="8.81640625" customWidth="1"/>
    <col min="1017" max="1017" width="19.1796875" customWidth="1"/>
    <col min="1018" max="1018" width="47.453125" customWidth="1"/>
    <col min="1019" max="1019" width="23.1796875" customWidth="1"/>
    <col min="1020" max="1020" width="19.6328125" bestFit="1" customWidth="1"/>
    <col min="1021" max="1021" width="15.90625" customWidth="1"/>
    <col min="1022" max="1022" width="13.54296875" customWidth="1"/>
    <col min="1023" max="1024" width="16.81640625" customWidth="1"/>
    <col min="1025" max="1025" width="12.453125" customWidth="1"/>
    <col min="1026" max="1026" width="8.81640625" customWidth="1"/>
    <col min="1273" max="1273" width="19.1796875" customWidth="1"/>
    <col min="1274" max="1274" width="47.453125" customWidth="1"/>
    <col min="1275" max="1275" width="23.1796875" customWidth="1"/>
    <col min="1276" max="1276" width="19.6328125" bestFit="1" customWidth="1"/>
    <col min="1277" max="1277" width="15.90625" customWidth="1"/>
    <col min="1278" max="1278" width="13.54296875" customWidth="1"/>
    <col min="1279" max="1280" width="16.81640625" customWidth="1"/>
    <col min="1281" max="1281" width="12.453125" customWidth="1"/>
    <col min="1282" max="1282" width="8.81640625" customWidth="1"/>
    <col min="1529" max="1529" width="19.1796875" customWidth="1"/>
    <col min="1530" max="1530" width="47.453125" customWidth="1"/>
    <col min="1531" max="1531" width="23.1796875" customWidth="1"/>
    <col min="1532" max="1532" width="19.6328125" bestFit="1" customWidth="1"/>
    <col min="1533" max="1533" width="15.90625" customWidth="1"/>
    <col min="1534" max="1534" width="13.54296875" customWidth="1"/>
    <col min="1535" max="1536" width="16.81640625" customWidth="1"/>
    <col min="1537" max="1537" width="12.453125" customWidth="1"/>
    <col min="1538" max="1538" width="8.81640625" customWidth="1"/>
    <col min="1785" max="1785" width="19.1796875" customWidth="1"/>
    <col min="1786" max="1786" width="47.453125" customWidth="1"/>
    <col min="1787" max="1787" width="23.1796875" customWidth="1"/>
    <col min="1788" max="1788" width="19.6328125" bestFit="1" customWidth="1"/>
    <col min="1789" max="1789" width="15.90625" customWidth="1"/>
    <col min="1790" max="1790" width="13.54296875" customWidth="1"/>
    <col min="1791" max="1792" width="16.81640625" customWidth="1"/>
    <col min="1793" max="1793" width="12.453125" customWidth="1"/>
    <col min="1794" max="1794" width="8.81640625" customWidth="1"/>
    <col min="2041" max="2041" width="19.1796875" customWidth="1"/>
    <col min="2042" max="2042" width="47.453125" customWidth="1"/>
    <col min="2043" max="2043" width="23.1796875" customWidth="1"/>
    <col min="2044" max="2044" width="19.6328125" bestFit="1" customWidth="1"/>
    <col min="2045" max="2045" width="15.90625" customWidth="1"/>
    <col min="2046" max="2046" width="13.54296875" customWidth="1"/>
    <col min="2047" max="2048" width="16.81640625" customWidth="1"/>
    <col min="2049" max="2049" width="12.453125" customWidth="1"/>
    <col min="2050" max="2050" width="8.81640625" customWidth="1"/>
    <col min="2297" max="2297" width="19.1796875" customWidth="1"/>
    <col min="2298" max="2298" width="47.453125" customWidth="1"/>
    <col min="2299" max="2299" width="23.1796875" customWidth="1"/>
    <col min="2300" max="2300" width="19.6328125" bestFit="1" customWidth="1"/>
    <col min="2301" max="2301" width="15.90625" customWidth="1"/>
    <col min="2302" max="2302" width="13.54296875" customWidth="1"/>
    <col min="2303" max="2304" width="16.81640625" customWidth="1"/>
    <col min="2305" max="2305" width="12.453125" customWidth="1"/>
    <col min="2306" max="2306" width="8.81640625" customWidth="1"/>
    <col min="2553" max="2553" width="19.1796875" customWidth="1"/>
    <col min="2554" max="2554" width="47.453125" customWidth="1"/>
    <col min="2555" max="2555" width="23.1796875" customWidth="1"/>
    <col min="2556" max="2556" width="19.6328125" bestFit="1" customWidth="1"/>
    <col min="2557" max="2557" width="15.90625" customWidth="1"/>
    <col min="2558" max="2558" width="13.54296875" customWidth="1"/>
    <col min="2559" max="2560" width="16.81640625" customWidth="1"/>
    <col min="2561" max="2561" width="12.453125" customWidth="1"/>
    <col min="2562" max="2562" width="8.81640625" customWidth="1"/>
    <col min="2809" max="2809" width="19.1796875" customWidth="1"/>
    <col min="2810" max="2810" width="47.453125" customWidth="1"/>
    <col min="2811" max="2811" width="23.1796875" customWidth="1"/>
    <col min="2812" max="2812" width="19.6328125" bestFit="1" customWidth="1"/>
    <col min="2813" max="2813" width="15.90625" customWidth="1"/>
    <col min="2814" max="2814" width="13.54296875" customWidth="1"/>
    <col min="2815" max="2816" width="16.81640625" customWidth="1"/>
    <col min="2817" max="2817" width="12.453125" customWidth="1"/>
    <col min="2818" max="2818" width="8.81640625" customWidth="1"/>
    <col min="3065" max="3065" width="19.1796875" customWidth="1"/>
    <col min="3066" max="3066" width="47.453125" customWidth="1"/>
    <col min="3067" max="3067" width="23.1796875" customWidth="1"/>
    <col min="3068" max="3068" width="19.6328125" bestFit="1" customWidth="1"/>
    <col min="3069" max="3069" width="15.90625" customWidth="1"/>
    <col min="3070" max="3070" width="13.54296875" customWidth="1"/>
    <col min="3071" max="3072" width="16.81640625" customWidth="1"/>
    <col min="3073" max="3073" width="12.453125" customWidth="1"/>
    <col min="3074" max="3074" width="8.81640625" customWidth="1"/>
    <col min="3321" max="3321" width="19.1796875" customWidth="1"/>
    <col min="3322" max="3322" width="47.453125" customWidth="1"/>
    <col min="3323" max="3323" width="23.1796875" customWidth="1"/>
    <col min="3324" max="3324" width="19.6328125" bestFit="1" customWidth="1"/>
    <col min="3325" max="3325" width="15.90625" customWidth="1"/>
    <col min="3326" max="3326" width="13.54296875" customWidth="1"/>
    <col min="3327" max="3328" width="16.81640625" customWidth="1"/>
    <col min="3329" max="3329" width="12.453125" customWidth="1"/>
    <col min="3330" max="3330" width="8.81640625" customWidth="1"/>
    <col min="3577" max="3577" width="19.1796875" customWidth="1"/>
    <col min="3578" max="3578" width="47.453125" customWidth="1"/>
    <col min="3579" max="3579" width="23.1796875" customWidth="1"/>
    <col min="3580" max="3580" width="19.6328125" bestFit="1" customWidth="1"/>
    <col min="3581" max="3581" width="15.90625" customWidth="1"/>
    <col min="3582" max="3582" width="13.54296875" customWidth="1"/>
    <col min="3583" max="3584" width="16.81640625" customWidth="1"/>
    <col min="3585" max="3585" width="12.453125" customWidth="1"/>
    <col min="3586" max="3586" width="8.81640625" customWidth="1"/>
    <col min="3833" max="3833" width="19.1796875" customWidth="1"/>
    <col min="3834" max="3834" width="47.453125" customWidth="1"/>
    <col min="3835" max="3835" width="23.1796875" customWidth="1"/>
    <col min="3836" max="3836" width="19.6328125" bestFit="1" customWidth="1"/>
    <col min="3837" max="3837" width="15.90625" customWidth="1"/>
    <col min="3838" max="3838" width="13.54296875" customWidth="1"/>
    <col min="3839" max="3840" width="16.81640625" customWidth="1"/>
    <col min="3841" max="3841" width="12.453125" customWidth="1"/>
    <col min="3842" max="3842" width="8.81640625" customWidth="1"/>
    <col min="4089" max="4089" width="19.1796875" customWidth="1"/>
    <col min="4090" max="4090" width="47.453125" customWidth="1"/>
    <col min="4091" max="4091" width="23.1796875" customWidth="1"/>
    <col min="4092" max="4092" width="19.6328125" bestFit="1" customWidth="1"/>
    <col min="4093" max="4093" width="15.90625" customWidth="1"/>
    <col min="4094" max="4094" width="13.54296875" customWidth="1"/>
    <col min="4095" max="4096" width="16.81640625" customWidth="1"/>
    <col min="4097" max="4097" width="12.453125" customWidth="1"/>
    <col min="4098" max="4098" width="8.81640625" customWidth="1"/>
    <col min="4345" max="4345" width="19.1796875" customWidth="1"/>
    <col min="4346" max="4346" width="47.453125" customWidth="1"/>
    <col min="4347" max="4347" width="23.1796875" customWidth="1"/>
    <col min="4348" max="4348" width="19.6328125" bestFit="1" customWidth="1"/>
    <col min="4349" max="4349" width="15.90625" customWidth="1"/>
    <col min="4350" max="4350" width="13.54296875" customWidth="1"/>
    <col min="4351" max="4352" width="16.81640625" customWidth="1"/>
    <col min="4353" max="4353" width="12.453125" customWidth="1"/>
    <col min="4354" max="4354" width="8.81640625" customWidth="1"/>
    <col min="4601" max="4601" width="19.1796875" customWidth="1"/>
    <col min="4602" max="4602" width="47.453125" customWidth="1"/>
    <col min="4603" max="4603" width="23.1796875" customWidth="1"/>
    <col min="4604" max="4604" width="19.6328125" bestFit="1" customWidth="1"/>
    <col min="4605" max="4605" width="15.90625" customWidth="1"/>
    <col min="4606" max="4606" width="13.54296875" customWidth="1"/>
    <col min="4607" max="4608" width="16.81640625" customWidth="1"/>
    <col min="4609" max="4609" width="12.453125" customWidth="1"/>
    <col min="4610" max="4610" width="8.81640625" customWidth="1"/>
    <col min="4857" max="4857" width="19.1796875" customWidth="1"/>
    <col min="4858" max="4858" width="47.453125" customWidth="1"/>
    <col min="4859" max="4859" width="23.1796875" customWidth="1"/>
    <col min="4860" max="4860" width="19.6328125" bestFit="1" customWidth="1"/>
    <col min="4861" max="4861" width="15.90625" customWidth="1"/>
    <col min="4862" max="4862" width="13.54296875" customWidth="1"/>
    <col min="4863" max="4864" width="16.81640625" customWidth="1"/>
    <col min="4865" max="4865" width="12.453125" customWidth="1"/>
    <col min="4866" max="4866" width="8.81640625" customWidth="1"/>
    <col min="5113" max="5113" width="19.1796875" customWidth="1"/>
    <col min="5114" max="5114" width="47.453125" customWidth="1"/>
    <col min="5115" max="5115" width="23.1796875" customWidth="1"/>
    <col min="5116" max="5116" width="19.6328125" bestFit="1" customWidth="1"/>
    <col min="5117" max="5117" width="15.90625" customWidth="1"/>
    <col min="5118" max="5118" width="13.54296875" customWidth="1"/>
    <col min="5119" max="5120" width="16.81640625" customWidth="1"/>
    <col min="5121" max="5121" width="12.453125" customWidth="1"/>
    <col min="5122" max="5122" width="8.81640625" customWidth="1"/>
    <col min="5369" max="5369" width="19.1796875" customWidth="1"/>
    <col min="5370" max="5370" width="47.453125" customWidth="1"/>
    <col min="5371" max="5371" width="23.1796875" customWidth="1"/>
    <col min="5372" max="5372" width="19.6328125" bestFit="1" customWidth="1"/>
    <col min="5373" max="5373" width="15.90625" customWidth="1"/>
    <col min="5374" max="5374" width="13.54296875" customWidth="1"/>
    <col min="5375" max="5376" width="16.81640625" customWidth="1"/>
    <col min="5377" max="5377" width="12.453125" customWidth="1"/>
    <col min="5378" max="5378" width="8.81640625" customWidth="1"/>
    <col min="5625" max="5625" width="19.1796875" customWidth="1"/>
    <col min="5626" max="5626" width="47.453125" customWidth="1"/>
    <col min="5627" max="5627" width="23.1796875" customWidth="1"/>
    <col min="5628" max="5628" width="19.6328125" bestFit="1" customWidth="1"/>
    <col min="5629" max="5629" width="15.90625" customWidth="1"/>
    <col min="5630" max="5630" width="13.54296875" customWidth="1"/>
    <col min="5631" max="5632" width="16.81640625" customWidth="1"/>
    <col min="5633" max="5633" width="12.453125" customWidth="1"/>
    <col min="5634" max="5634" width="8.81640625" customWidth="1"/>
    <col min="5881" max="5881" width="19.1796875" customWidth="1"/>
    <col min="5882" max="5882" width="47.453125" customWidth="1"/>
    <col min="5883" max="5883" width="23.1796875" customWidth="1"/>
    <col min="5884" max="5884" width="19.6328125" bestFit="1" customWidth="1"/>
    <col min="5885" max="5885" width="15.90625" customWidth="1"/>
    <col min="5886" max="5886" width="13.54296875" customWidth="1"/>
    <col min="5887" max="5888" width="16.81640625" customWidth="1"/>
    <col min="5889" max="5889" width="12.453125" customWidth="1"/>
    <col min="5890" max="5890" width="8.81640625" customWidth="1"/>
    <col min="6137" max="6137" width="19.1796875" customWidth="1"/>
    <col min="6138" max="6138" width="47.453125" customWidth="1"/>
    <col min="6139" max="6139" width="23.1796875" customWidth="1"/>
    <col min="6140" max="6140" width="19.6328125" bestFit="1" customWidth="1"/>
    <col min="6141" max="6141" width="15.90625" customWidth="1"/>
    <col min="6142" max="6142" width="13.54296875" customWidth="1"/>
    <col min="6143" max="6144" width="16.81640625" customWidth="1"/>
    <col min="6145" max="6145" width="12.453125" customWidth="1"/>
    <col min="6146" max="6146" width="8.81640625" customWidth="1"/>
    <col min="6393" max="6393" width="19.1796875" customWidth="1"/>
    <col min="6394" max="6394" width="47.453125" customWidth="1"/>
    <col min="6395" max="6395" width="23.1796875" customWidth="1"/>
    <col min="6396" max="6396" width="19.6328125" bestFit="1" customWidth="1"/>
    <col min="6397" max="6397" width="15.90625" customWidth="1"/>
    <col min="6398" max="6398" width="13.54296875" customWidth="1"/>
    <col min="6399" max="6400" width="16.81640625" customWidth="1"/>
    <col min="6401" max="6401" width="12.453125" customWidth="1"/>
    <col min="6402" max="6402" width="8.81640625" customWidth="1"/>
    <col min="6649" max="6649" width="19.1796875" customWidth="1"/>
    <col min="6650" max="6650" width="47.453125" customWidth="1"/>
    <col min="6651" max="6651" width="23.1796875" customWidth="1"/>
    <col min="6652" max="6652" width="19.6328125" bestFit="1" customWidth="1"/>
    <col min="6653" max="6653" width="15.90625" customWidth="1"/>
    <col min="6654" max="6654" width="13.54296875" customWidth="1"/>
    <col min="6655" max="6656" width="16.81640625" customWidth="1"/>
    <col min="6657" max="6657" width="12.453125" customWidth="1"/>
    <col min="6658" max="6658" width="8.81640625" customWidth="1"/>
    <col min="6905" max="6905" width="19.1796875" customWidth="1"/>
    <col min="6906" max="6906" width="47.453125" customWidth="1"/>
    <col min="6907" max="6907" width="23.1796875" customWidth="1"/>
    <col min="6908" max="6908" width="19.6328125" bestFit="1" customWidth="1"/>
    <col min="6909" max="6909" width="15.90625" customWidth="1"/>
    <col min="6910" max="6910" width="13.54296875" customWidth="1"/>
    <col min="6911" max="6912" width="16.81640625" customWidth="1"/>
    <col min="6913" max="6913" width="12.453125" customWidth="1"/>
    <col min="6914" max="6914" width="8.81640625" customWidth="1"/>
    <col min="7161" max="7161" width="19.1796875" customWidth="1"/>
    <col min="7162" max="7162" width="47.453125" customWidth="1"/>
    <col min="7163" max="7163" width="23.1796875" customWidth="1"/>
    <col min="7164" max="7164" width="19.6328125" bestFit="1" customWidth="1"/>
    <col min="7165" max="7165" width="15.90625" customWidth="1"/>
    <col min="7166" max="7166" width="13.54296875" customWidth="1"/>
    <col min="7167" max="7168" width="16.81640625" customWidth="1"/>
    <col min="7169" max="7169" width="12.453125" customWidth="1"/>
    <col min="7170" max="7170" width="8.81640625" customWidth="1"/>
    <col min="7417" max="7417" width="19.1796875" customWidth="1"/>
    <col min="7418" max="7418" width="47.453125" customWidth="1"/>
    <col min="7419" max="7419" width="23.1796875" customWidth="1"/>
    <col min="7420" max="7420" width="19.6328125" bestFit="1" customWidth="1"/>
    <col min="7421" max="7421" width="15.90625" customWidth="1"/>
    <col min="7422" max="7422" width="13.54296875" customWidth="1"/>
    <col min="7423" max="7424" width="16.81640625" customWidth="1"/>
    <col min="7425" max="7425" width="12.453125" customWidth="1"/>
    <col min="7426" max="7426" width="8.81640625" customWidth="1"/>
    <col min="7673" max="7673" width="19.1796875" customWidth="1"/>
    <col min="7674" max="7674" width="47.453125" customWidth="1"/>
    <col min="7675" max="7675" width="23.1796875" customWidth="1"/>
    <col min="7676" max="7676" width="19.6328125" bestFit="1" customWidth="1"/>
    <col min="7677" max="7677" width="15.90625" customWidth="1"/>
    <col min="7678" max="7678" width="13.54296875" customWidth="1"/>
    <col min="7679" max="7680" width="16.81640625" customWidth="1"/>
    <col min="7681" max="7681" width="12.453125" customWidth="1"/>
    <col min="7682" max="7682" width="8.81640625" customWidth="1"/>
    <col min="7929" max="7929" width="19.1796875" customWidth="1"/>
    <col min="7930" max="7930" width="47.453125" customWidth="1"/>
    <col min="7931" max="7931" width="23.1796875" customWidth="1"/>
    <col min="7932" max="7932" width="19.6328125" bestFit="1" customWidth="1"/>
    <col min="7933" max="7933" width="15.90625" customWidth="1"/>
    <col min="7934" max="7934" width="13.54296875" customWidth="1"/>
    <col min="7935" max="7936" width="16.81640625" customWidth="1"/>
    <col min="7937" max="7937" width="12.453125" customWidth="1"/>
    <col min="7938" max="7938" width="8.81640625" customWidth="1"/>
    <col min="8185" max="8185" width="19.1796875" customWidth="1"/>
    <col min="8186" max="8186" width="47.453125" customWidth="1"/>
    <col min="8187" max="8187" width="23.1796875" customWidth="1"/>
    <col min="8188" max="8188" width="19.6328125" bestFit="1" customWidth="1"/>
    <col min="8189" max="8189" width="15.90625" customWidth="1"/>
    <col min="8190" max="8190" width="13.54296875" customWidth="1"/>
    <col min="8191" max="8192" width="16.81640625" customWidth="1"/>
    <col min="8193" max="8193" width="12.453125" customWidth="1"/>
    <col min="8194" max="8194" width="8.81640625" customWidth="1"/>
    <col min="8441" max="8441" width="19.1796875" customWidth="1"/>
    <col min="8442" max="8442" width="47.453125" customWidth="1"/>
    <col min="8443" max="8443" width="23.1796875" customWidth="1"/>
    <col min="8444" max="8444" width="19.6328125" bestFit="1" customWidth="1"/>
    <col min="8445" max="8445" width="15.90625" customWidth="1"/>
    <col min="8446" max="8446" width="13.54296875" customWidth="1"/>
    <col min="8447" max="8448" width="16.81640625" customWidth="1"/>
    <col min="8449" max="8449" width="12.453125" customWidth="1"/>
    <col min="8450" max="8450" width="8.81640625" customWidth="1"/>
    <col min="8697" max="8697" width="19.1796875" customWidth="1"/>
    <col min="8698" max="8698" width="47.453125" customWidth="1"/>
    <col min="8699" max="8699" width="23.1796875" customWidth="1"/>
    <col min="8700" max="8700" width="19.6328125" bestFit="1" customWidth="1"/>
    <col min="8701" max="8701" width="15.90625" customWidth="1"/>
    <col min="8702" max="8702" width="13.54296875" customWidth="1"/>
    <col min="8703" max="8704" width="16.81640625" customWidth="1"/>
    <col min="8705" max="8705" width="12.453125" customWidth="1"/>
    <col min="8706" max="8706" width="8.81640625" customWidth="1"/>
    <col min="8953" max="8953" width="19.1796875" customWidth="1"/>
    <col min="8954" max="8954" width="47.453125" customWidth="1"/>
    <col min="8955" max="8955" width="23.1796875" customWidth="1"/>
    <col min="8956" max="8956" width="19.6328125" bestFit="1" customWidth="1"/>
    <col min="8957" max="8957" width="15.90625" customWidth="1"/>
    <col min="8958" max="8958" width="13.54296875" customWidth="1"/>
    <col min="8959" max="8960" width="16.81640625" customWidth="1"/>
    <col min="8961" max="8961" width="12.453125" customWidth="1"/>
    <col min="8962" max="8962" width="8.81640625" customWidth="1"/>
    <col min="9209" max="9209" width="19.1796875" customWidth="1"/>
    <col min="9210" max="9210" width="47.453125" customWidth="1"/>
    <col min="9211" max="9211" width="23.1796875" customWidth="1"/>
    <col min="9212" max="9212" width="19.6328125" bestFit="1" customWidth="1"/>
    <col min="9213" max="9213" width="15.90625" customWidth="1"/>
    <col min="9214" max="9214" width="13.54296875" customWidth="1"/>
    <col min="9215" max="9216" width="16.81640625" customWidth="1"/>
    <col min="9217" max="9217" width="12.453125" customWidth="1"/>
    <col min="9218" max="9218" width="8.81640625" customWidth="1"/>
    <col min="9465" max="9465" width="19.1796875" customWidth="1"/>
    <col min="9466" max="9466" width="47.453125" customWidth="1"/>
    <col min="9467" max="9467" width="23.1796875" customWidth="1"/>
    <col min="9468" max="9468" width="19.6328125" bestFit="1" customWidth="1"/>
    <col min="9469" max="9469" width="15.90625" customWidth="1"/>
    <col min="9470" max="9470" width="13.54296875" customWidth="1"/>
    <col min="9471" max="9472" width="16.81640625" customWidth="1"/>
    <col min="9473" max="9473" width="12.453125" customWidth="1"/>
    <col min="9474" max="9474" width="8.81640625" customWidth="1"/>
    <col min="9721" max="9721" width="19.1796875" customWidth="1"/>
    <col min="9722" max="9722" width="47.453125" customWidth="1"/>
    <col min="9723" max="9723" width="23.1796875" customWidth="1"/>
    <col min="9724" max="9724" width="19.6328125" bestFit="1" customWidth="1"/>
    <col min="9725" max="9725" width="15.90625" customWidth="1"/>
    <col min="9726" max="9726" width="13.54296875" customWidth="1"/>
    <col min="9727" max="9728" width="16.81640625" customWidth="1"/>
    <col min="9729" max="9729" width="12.453125" customWidth="1"/>
    <col min="9730" max="9730" width="8.81640625" customWidth="1"/>
    <col min="9977" max="9977" width="19.1796875" customWidth="1"/>
    <col min="9978" max="9978" width="47.453125" customWidth="1"/>
    <col min="9979" max="9979" width="23.1796875" customWidth="1"/>
    <col min="9980" max="9980" width="19.6328125" bestFit="1" customWidth="1"/>
    <col min="9981" max="9981" width="15.90625" customWidth="1"/>
    <col min="9982" max="9982" width="13.54296875" customWidth="1"/>
    <col min="9983" max="9984" width="16.81640625" customWidth="1"/>
    <col min="9985" max="9985" width="12.453125" customWidth="1"/>
    <col min="9986" max="9986" width="8.81640625" customWidth="1"/>
    <col min="10233" max="10233" width="19.1796875" customWidth="1"/>
    <col min="10234" max="10234" width="47.453125" customWidth="1"/>
    <col min="10235" max="10235" width="23.1796875" customWidth="1"/>
    <col min="10236" max="10236" width="19.6328125" bestFit="1" customWidth="1"/>
    <col min="10237" max="10237" width="15.90625" customWidth="1"/>
    <col min="10238" max="10238" width="13.54296875" customWidth="1"/>
    <col min="10239" max="10240" width="16.81640625" customWidth="1"/>
    <col min="10241" max="10241" width="12.453125" customWidth="1"/>
    <col min="10242" max="10242" width="8.81640625" customWidth="1"/>
    <col min="10489" max="10489" width="19.1796875" customWidth="1"/>
    <col min="10490" max="10490" width="47.453125" customWidth="1"/>
    <col min="10491" max="10491" width="23.1796875" customWidth="1"/>
    <col min="10492" max="10492" width="19.6328125" bestFit="1" customWidth="1"/>
    <col min="10493" max="10493" width="15.90625" customWidth="1"/>
    <col min="10494" max="10494" width="13.54296875" customWidth="1"/>
    <col min="10495" max="10496" width="16.81640625" customWidth="1"/>
    <col min="10497" max="10497" width="12.453125" customWidth="1"/>
    <col min="10498" max="10498" width="8.81640625" customWidth="1"/>
    <col min="10745" max="10745" width="19.1796875" customWidth="1"/>
    <col min="10746" max="10746" width="47.453125" customWidth="1"/>
    <col min="10747" max="10747" width="23.1796875" customWidth="1"/>
    <col min="10748" max="10748" width="19.6328125" bestFit="1" customWidth="1"/>
    <col min="10749" max="10749" width="15.90625" customWidth="1"/>
    <col min="10750" max="10750" width="13.54296875" customWidth="1"/>
    <col min="10751" max="10752" width="16.81640625" customWidth="1"/>
    <col min="10753" max="10753" width="12.453125" customWidth="1"/>
    <col min="10754" max="10754" width="8.81640625" customWidth="1"/>
    <col min="11001" max="11001" width="19.1796875" customWidth="1"/>
    <col min="11002" max="11002" width="47.453125" customWidth="1"/>
    <col min="11003" max="11003" width="23.1796875" customWidth="1"/>
    <col min="11004" max="11004" width="19.6328125" bestFit="1" customWidth="1"/>
    <col min="11005" max="11005" width="15.90625" customWidth="1"/>
    <col min="11006" max="11006" width="13.54296875" customWidth="1"/>
    <col min="11007" max="11008" width="16.81640625" customWidth="1"/>
    <col min="11009" max="11009" width="12.453125" customWidth="1"/>
    <col min="11010" max="11010" width="8.81640625" customWidth="1"/>
    <col min="11257" max="11257" width="19.1796875" customWidth="1"/>
    <col min="11258" max="11258" width="47.453125" customWidth="1"/>
    <col min="11259" max="11259" width="23.1796875" customWidth="1"/>
    <col min="11260" max="11260" width="19.6328125" bestFit="1" customWidth="1"/>
    <col min="11261" max="11261" width="15.90625" customWidth="1"/>
    <col min="11262" max="11262" width="13.54296875" customWidth="1"/>
    <col min="11263" max="11264" width="16.81640625" customWidth="1"/>
    <col min="11265" max="11265" width="12.453125" customWidth="1"/>
    <col min="11266" max="11266" width="8.81640625" customWidth="1"/>
    <col min="11513" max="11513" width="19.1796875" customWidth="1"/>
    <col min="11514" max="11514" width="47.453125" customWidth="1"/>
    <col min="11515" max="11515" width="23.1796875" customWidth="1"/>
    <col min="11516" max="11516" width="19.6328125" bestFit="1" customWidth="1"/>
    <col min="11517" max="11517" width="15.90625" customWidth="1"/>
    <col min="11518" max="11518" width="13.54296875" customWidth="1"/>
    <col min="11519" max="11520" width="16.81640625" customWidth="1"/>
    <col min="11521" max="11521" width="12.453125" customWidth="1"/>
    <col min="11522" max="11522" width="8.81640625" customWidth="1"/>
    <col min="11769" max="11769" width="19.1796875" customWidth="1"/>
    <col min="11770" max="11770" width="47.453125" customWidth="1"/>
    <col min="11771" max="11771" width="23.1796875" customWidth="1"/>
    <col min="11772" max="11772" width="19.6328125" bestFit="1" customWidth="1"/>
    <col min="11773" max="11773" width="15.90625" customWidth="1"/>
    <col min="11774" max="11774" width="13.54296875" customWidth="1"/>
    <col min="11775" max="11776" width="16.81640625" customWidth="1"/>
    <col min="11777" max="11777" width="12.453125" customWidth="1"/>
    <col min="11778" max="11778" width="8.81640625" customWidth="1"/>
    <col min="12025" max="12025" width="19.1796875" customWidth="1"/>
    <col min="12026" max="12026" width="47.453125" customWidth="1"/>
    <col min="12027" max="12027" width="23.1796875" customWidth="1"/>
    <col min="12028" max="12028" width="19.6328125" bestFit="1" customWidth="1"/>
    <col min="12029" max="12029" width="15.90625" customWidth="1"/>
    <col min="12030" max="12030" width="13.54296875" customWidth="1"/>
    <col min="12031" max="12032" width="16.81640625" customWidth="1"/>
    <col min="12033" max="12033" width="12.453125" customWidth="1"/>
    <col min="12034" max="12034" width="8.81640625" customWidth="1"/>
    <col min="12281" max="12281" width="19.1796875" customWidth="1"/>
    <col min="12282" max="12282" width="47.453125" customWidth="1"/>
    <col min="12283" max="12283" width="23.1796875" customWidth="1"/>
    <col min="12284" max="12284" width="19.6328125" bestFit="1" customWidth="1"/>
    <col min="12285" max="12285" width="15.90625" customWidth="1"/>
    <col min="12286" max="12286" width="13.54296875" customWidth="1"/>
    <col min="12287" max="12288" width="16.81640625" customWidth="1"/>
    <col min="12289" max="12289" width="12.453125" customWidth="1"/>
    <col min="12290" max="12290" width="8.81640625" customWidth="1"/>
    <col min="12537" max="12537" width="19.1796875" customWidth="1"/>
    <col min="12538" max="12538" width="47.453125" customWidth="1"/>
    <col min="12539" max="12539" width="23.1796875" customWidth="1"/>
    <col min="12540" max="12540" width="19.6328125" bestFit="1" customWidth="1"/>
    <col min="12541" max="12541" width="15.90625" customWidth="1"/>
    <col min="12542" max="12542" width="13.54296875" customWidth="1"/>
    <col min="12543" max="12544" width="16.81640625" customWidth="1"/>
    <col min="12545" max="12545" width="12.453125" customWidth="1"/>
    <col min="12546" max="12546" width="8.81640625" customWidth="1"/>
    <col min="12793" max="12793" width="19.1796875" customWidth="1"/>
    <col min="12794" max="12794" width="47.453125" customWidth="1"/>
    <col min="12795" max="12795" width="23.1796875" customWidth="1"/>
    <col min="12796" max="12796" width="19.6328125" bestFit="1" customWidth="1"/>
    <col min="12797" max="12797" width="15.90625" customWidth="1"/>
    <col min="12798" max="12798" width="13.54296875" customWidth="1"/>
    <col min="12799" max="12800" width="16.81640625" customWidth="1"/>
    <col min="12801" max="12801" width="12.453125" customWidth="1"/>
    <col min="12802" max="12802" width="8.81640625" customWidth="1"/>
    <col min="13049" max="13049" width="19.1796875" customWidth="1"/>
    <col min="13050" max="13050" width="47.453125" customWidth="1"/>
    <col min="13051" max="13051" width="23.1796875" customWidth="1"/>
    <col min="13052" max="13052" width="19.6328125" bestFit="1" customWidth="1"/>
    <col min="13053" max="13053" width="15.90625" customWidth="1"/>
    <col min="13054" max="13054" width="13.54296875" customWidth="1"/>
    <col min="13055" max="13056" width="16.81640625" customWidth="1"/>
    <col min="13057" max="13057" width="12.453125" customWidth="1"/>
    <col min="13058" max="13058" width="8.81640625" customWidth="1"/>
    <col min="13305" max="13305" width="19.1796875" customWidth="1"/>
    <col min="13306" max="13306" width="47.453125" customWidth="1"/>
    <col min="13307" max="13307" width="23.1796875" customWidth="1"/>
    <col min="13308" max="13308" width="19.6328125" bestFit="1" customWidth="1"/>
    <col min="13309" max="13309" width="15.90625" customWidth="1"/>
    <col min="13310" max="13310" width="13.54296875" customWidth="1"/>
    <col min="13311" max="13312" width="16.81640625" customWidth="1"/>
    <col min="13313" max="13313" width="12.453125" customWidth="1"/>
    <col min="13314" max="13314" width="8.81640625" customWidth="1"/>
    <col min="13561" max="13561" width="19.1796875" customWidth="1"/>
    <col min="13562" max="13562" width="47.453125" customWidth="1"/>
    <col min="13563" max="13563" width="23.1796875" customWidth="1"/>
    <col min="13564" max="13564" width="19.6328125" bestFit="1" customWidth="1"/>
    <col min="13565" max="13565" width="15.90625" customWidth="1"/>
    <col min="13566" max="13566" width="13.54296875" customWidth="1"/>
    <col min="13567" max="13568" width="16.81640625" customWidth="1"/>
    <col min="13569" max="13569" width="12.453125" customWidth="1"/>
    <col min="13570" max="13570" width="8.81640625" customWidth="1"/>
    <col min="13817" max="13817" width="19.1796875" customWidth="1"/>
    <col min="13818" max="13818" width="47.453125" customWidth="1"/>
    <col min="13819" max="13819" width="23.1796875" customWidth="1"/>
    <col min="13820" max="13820" width="19.6328125" bestFit="1" customWidth="1"/>
    <col min="13821" max="13821" width="15.90625" customWidth="1"/>
    <col min="13822" max="13822" width="13.54296875" customWidth="1"/>
    <col min="13823" max="13824" width="16.81640625" customWidth="1"/>
    <col min="13825" max="13825" width="12.453125" customWidth="1"/>
    <col min="13826" max="13826" width="8.81640625" customWidth="1"/>
    <col min="14073" max="14073" width="19.1796875" customWidth="1"/>
    <col min="14074" max="14074" width="47.453125" customWidth="1"/>
    <col min="14075" max="14075" width="23.1796875" customWidth="1"/>
    <col min="14076" max="14076" width="19.6328125" bestFit="1" customWidth="1"/>
    <col min="14077" max="14077" width="15.90625" customWidth="1"/>
    <col min="14078" max="14078" width="13.54296875" customWidth="1"/>
    <col min="14079" max="14080" width="16.81640625" customWidth="1"/>
    <col min="14081" max="14081" width="12.453125" customWidth="1"/>
    <col min="14082" max="14082" width="8.81640625" customWidth="1"/>
    <col min="14329" max="14329" width="19.1796875" customWidth="1"/>
    <col min="14330" max="14330" width="47.453125" customWidth="1"/>
    <col min="14331" max="14331" width="23.1796875" customWidth="1"/>
    <col min="14332" max="14332" width="19.6328125" bestFit="1" customWidth="1"/>
    <col min="14333" max="14333" width="15.90625" customWidth="1"/>
    <col min="14334" max="14334" width="13.54296875" customWidth="1"/>
    <col min="14335" max="14336" width="16.81640625" customWidth="1"/>
    <col min="14337" max="14337" width="12.453125" customWidth="1"/>
    <col min="14338" max="14338" width="8.81640625" customWidth="1"/>
    <col min="14585" max="14585" width="19.1796875" customWidth="1"/>
    <col min="14586" max="14586" width="47.453125" customWidth="1"/>
    <col min="14587" max="14587" width="23.1796875" customWidth="1"/>
    <col min="14588" max="14588" width="19.6328125" bestFit="1" customWidth="1"/>
    <col min="14589" max="14589" width="15.90625" customWidth="1"/>
    <col min="14590" max="14590" width="13.54296875" customWidth="1"/>
    <col min="14591" max="14592" width="16.81640625" customWidth="1"/>
    <col min="14593" max="14593" width="12.453125" customWidth="1"/>
    <col min="14594" max="14594" width="8.81640625" customWidth="1"/>
    <col min="14841" max="14841" width="19.1796875" customWidth="1"/>
    <col min="14842" max="14842" width="47.453125" customWidth="1"/>
    <col min="14843" max="14843" width="23.1796875" customWidth="1"/>
    <col min="14844" max="14844" width="19.6328125" bestFit="1" customWidth="1"/>
    <col min="14845" max="14845" width="15.90625" customWidth="1"/>
    <col min="14846" max="14846" width="13.54296875" customWidth="1"/>
    <col min="14847" max="14848" width="16.81640625" customWidth="1"/>
    <col min="14849" max="14849" width="12.453125" customWidth="1"/>
    <col min="14850" max="14850" width="8.81640625" customWidth="1"/>
    <col min="15097" max="15097" width="19.1796875" customWidth="1"/>
    <col min="15098" max="15098" width="47.453125" customWidth="1"/>
    <col min="15099" max="15099" width="23.1796875" customWidth="1"/>
    <col min="15100" max="15100" width="19.6328125" bestFit="1" customWidth="1"/>
    <col min="15101" max="15101" width="15.90625" customWidth="1"/>
    <col min="15102" max="15102" width="13.54296875" customWidth="1"/>
    <col min="15103" max="15104" width="16.81640625" customWidth="1"/>
    <col min="15105" max="15105" width="12.453125" customWidth="1"/>
    <col min="15106" max="15106" width="8.81640625" customWidth="1"/>
    <col min="15353" max="15353" width="19.1796875" customWidth="1"/>
    <col min="15354" max="15354" width="47.453125" customWidth="1"/>
    <col min="15355" max="15355" width="23.1796875" customWidth="1"/>
    <col min="15356" max="15356" width="19.6328125" bestFit="1" customWidth="1"/>
    <col min="15357" max="15357" width="15.90625" customWidth="1"/>
    <col min="15358" max="15358" width="13.54296875" customWidth="1"/>
    <col min="15359" max="15360" width="16.81640625" customWidth="1"/>
    <col min="15361" max="15361" width="12.453125" customWidth="1"/>
    <col min="15362" max="15362" width="8.81640625" customWidth="1"/>
    <col min="15609" max="15609" width="19.1796875" customWidth="1"/>
    <col min="15610" max="15610" width="47.453125" customWidth="1"/>
    <col min="15611" max="15611" width="23.1796875" customWidth="1"/>
    <col min="15612" max="15612" width="19.6328125" bestFit="1" customWidth="1"/>
    <col min="15613" max="15613" width="15.90625" customWidth="1"/>
    <col min="15614" max="15614" width="13.54296875" customWidth="1"/>
    <col min="15615" max="15616" width="16.81640625" customWidth="1"/>
    <col min="15617" max="15617" width="12.453125" customWidth="1"/>
    <col min="15618" max="15618" width="8.81640625" customWidth="1"/>
    <col min="15865" max="15865" width="19.1796875" customWidth="1"/>
    <col min="15866" max="15866" width="47.453125" customWidth="1"/>
    <col min="15867" max="15867" width="23.1796875" customWidth="1"/>
    <col min="15868" max="15868" width="19.6328125" bestFit="1" customWidth="1"/>
    <col min="15869" max="15869" width="15.90625" customWidth="1"/>
    <col min="15870" max="15870" width="13.54296875" customWidth="1"/>
    <col min="15871" max="15872" width="16.81640625" customWidth="1"/>
    <col min="15873" max="15873" width="12.453125" customWidth="1"/>
    <col min="15874" max="15874" width="8.81640625" customWidth="1"/>
    <col min="16121" max="16121" width="19.1796875" customWidth="1"/>
    <col min="16122" max="16122" width="47.453125" customWidth="1"/>
    <col min="16123" max="16123" width="23.1796875" customWidth="1"/>
    <col min="16124" max="16124" width="19.6328125" bestFit="1" customWidth="1"/>
    <col min="16125" max="16125" width="15.90625" customWidth="1"/>
    <col min="16126" max="16126" width="13.54296875" customWidth="1"/>
    <col min="16127" max="16128" width="16.81640625" customWidth="1"/>
    <col min="16129" max="16129" width="12.453125" customWidth="1"/>
    <col min="16130" max="16130" width="8.81640625" customWidth="1"/>
  </cols>
  <sheetData>
    <row r="1" spans="1:10" x14ac:dyDescent="0.35">
      <c r="A1" s="110"/>
      <c r="B1" s="110"/>
      <c r="C1" s="110"/>
      <c r="D1" s="110"/>
      <c r="E1" s="110"/>
      <c r="F1" s="110"/>
      <c r="G1" s="110"/>
      <c r="H1" s="110"/>
      <c r="I1" s="110"/>
    </row>
    <row r="2" spans="1:10" x14ac:dyDescent="0.35">
      <c r="A2" s="111" t="s">
        <v>0</v>
      </c>
      <c r="B2" s="111"/>
      <c r="C2" s="111"/>
      <c r="D2" s="111"/>
      <c r="E2" s="111"/>
      <c r="F2" s="111"/>
      <c r="G2" s="111"/>
      <c r="H2" s="111"/>
      <c r="I2" s="111"/>
    </row>
    <row r="3" spans="1:10" x14ac:dyDescent="0.35">
      <c r="A3" s="112" t="s">
        <v>1</v>
      </c>
      <c r="B3" s="112"/>
      <c r="C3" s="112"/>
      <c r="D3" s="112"/>
      <c r="E3" s="112"/>
      <c r="F3" s="112"/>
      <c r="G3" s="112"/>
      <c r="H3" s="112"/>
      <c r="I3" s="112"/>
    </row>
    <row r="4" spans="1:10" ht="32.25" customHeight="1" x14ac:dyDescent="0.35">
      <c r="A4" s="1" t="s">
        <v>2</v>
      </c>
      <c r="B4" s="2" t="s">
        <v>3</v>
      </c>
      <c r="C4" s="3" t="s">
        <v>4</v>
      </c>
      <c r="D4" s="1" t="s">
        <v>5</v>
      </c>
      <c r="E4" s="4" t="s">
        <v>6</v>
      </c>
      <c r="F4" s="5" t="s">
        <v>7</v>
      </c>
      <c r="G4" s="5" t="s">
        <v>8</v>
      </c>
      <c r="H4" s="5" t="s">
        <v>9</v>
      </c>
      <c r="I4" s="1" t="s">
        <v>10</v>
      </c>
    </row>
    <row r="5" spans="1:10" x14ac:dyDescent="0.35">
      <c r="A5" s="6"/>
      <c r="B5" s="7" t="s">
        <v>11</v>
      </c>
      <c r="C5" s="6"/>
      <c r="D5" s="8"/>
      <c r="E5" s="8"/>
      <c r="F5" s="9"/>
      <c r="G5" s="10"/>
      <c r="H5" s="9"/>
      <c r="I5" s="11"/>
    </row>
    <row r="6" spans="1:10" x14ac:dyDescent="0.35">
      <c r="A6" s="6"/>
      <c r="B6" s="7" t="s">
        <v>12</v>
      </c>
      <c r="C6" s="6"/>
      <c r="D6" s="8"/>
      <c r="E6" s="12"/>
      <c r="F6" s="12"/>
      <c r="G6" s="10"/>
      <c r="H6" s="9"/>
      <c r="I6" s="11"/>
    </row>
    <row r="7" spans="1:10" x14ac:dyDescent="0.35">
      <c r="A7" s="13" t="s">
        <v>13</v>
      </c>
      <c r="B7" s="13" t="s">
        <v>14</v>
      </c>
      <c r="C7" s="13" t="s">
        <v>15</v>
      </c>
      <c r="D7" s="14">
        <v>35000</v>
      </c>
      <c r="E7" s="14">
        <v>248.04499999999999</v>
      </c>
      <c r="F7" s="15">
        <v>5.8762306494087424E-2</v>
      </c>
      <c r="G7" s="16"/>
      <c r="H7" s="16"/>
      <c r="I7" s="11"/>
      <c r="J7" t="str">
        <f t="shared" ref="J7:J38" si="0">IFERROR(IF(VALUE(XDO_?PER_NET_ASST_EQU?)&lt;0.0001,"$",""),"")</f>
        <v/>
      </c>
    </row>
    <row r="8" spans="1:10" x14ac:dyDescent="0.35">
      <c r="A8" s="13" t="s">
        <v>16</v>
      </c>
      <c r="B8" s="13" t="s">
        <v>17</v>
      </c>
      <c r="C8" s="13" t="s">
        <v>18</v>
      </c>
      <c r="D8" s="14">
        <v>50000</v>
      </c>
      <c r="E8" s="14">
        <v>197.6</v>
      </c>
      <c r="F8" s="15">
        <v>4.6811795292111012E-2</v>
      </c>
      <c r="G8" s="16"/>
      <c r="H8" s="16"/>
      <c r="I8" s="11"/>
      <c r="J8" t="str">
        <f t="shared" si="0"/>
        <v/>
      </c>
    </row>
    <row r="9" spans="1:10" x14ac:dyDescent="0.35">
      <c r="A9" s="13" t="s">
        <v>19</v>
      </c>
      <c r="B9" s="13" t="s">
        <v>20</v>
      </c>
      <c r="C9" s="13" t="s">
        <v>21</v>
      </c>
      <c r="D9" s="14">
        <v>7000</v>
      </c>
      <c r="E9" s="14">
        <v>143.542</v>
      </c>
      <c r="F9" s="15">
        <v>3.4005357893826915E-2</v>
      </c>
      <c r="G9" s="16"/>
      <c r="H9" s="16"/>
      <c r="I9" s="11"/>
      <c r="J9" t="str">
        <f t="shared" si="0"/>
        <v/>
      </c>
    </row>
    <row r="10" spans="1:10" x14ac:dyDescent="0.35">
      <c r="A10" s="13" t="s">
        <v>22</v>
      </c>
      <c r="B10" s="13" t="s">
        <v>23</v>
      </c>
      <c r="C10" s="13" t="s">
        <v>24</v>
      </c>
      <c r="D10" s="14">
        <v>3800</v>
      </c>
      <c r="E10" s="14">
        <v>142.88</v>
      </c>
      <c r="F10" s="15">
        <v>3.3848528903526423E-2</v>
      </c>
      <c r="G10" s="16"/>
      <c r="H10" s="16"/>
      <c r="I10" s="11"/>
      <c r="J10" t="str">
        <f t="shared" si="0"/>
        <v/>
      </c>
    </row>
    <row r="11" spans="1:10" x14ac:dyDescent="0.35">
      <c r="A11" s="13" t="s">
        <v>25</v>
      </c>
      <c r="B11" s="13" t="s">
        <v>26</v>
      </c>
      <c r="C11" s="13" t="s">
        <v>27</v>
      </c>
      <c r="D11" s="14">
        <v>30000</v>
      </c>
      <c r="E11" s="14">
        <v>116.49</v>
      </c>
      <c r="F11" s="15">
        <v>2.7596690453330019E-2</v>
      </c>
      <c r="G11" s="16"/>
      <c r="H11" s="16"/>
      <c r="I11" s="11"/>
      <c r="J11" t="str">
        <f t="shared" si="0"/>
        <v/>
      </c>
    </row>
    <row r="12" spans="1:10" x14ac:dyDescent="0.35">
      <c r="A12" s="13" t="s">
        <v>28</v>
      </c>
      <c r="B12" s="13" t="s">
        <v>29</v>
      </c>
      <c r="C12" s="13" t="s">
        <v>18</v>
      </c>
      <c r="D12" s="14">
        <v>146500</v>
      </c>
      <c r="E12" s="14">
        <v>109.59665</v>
      </c>
      <c r="F12" s="15">
        <v>2.5963643443831671E-2</v>
      </c>
      <c r="G12" s="16"/>
      <c r="H12" s="16"/>
      <c r="I12" s="11"/>
      <c r="J12" t="str">
        <f t="shared" si="0"/>
        <v/>
      </c>
    </row>
    <row r="13" spans="1:10" x14ac:dyDescent="0.35">
      <c r="A13" s="13" t="s">
        <v>30</v>
      </c>
      <c r="B13" s="13" t="s">
        <v>31</v>
      </c>
      <c r="C13" s="13" t="s">
        <v>32</v>
      </c>
      <c r="D13" s="14">
        <v>9200</v>
      </c>
      <c r="E13" s="14">
        <v>109.20399999999999</v>
      </c>
      <c r="F13" s="15">
        <v>2.5870623952832444E-2</v>
      </c>
      <c r="G13" s="16"/>
      <c r="H13" s="16"/>
      <c r="I13" s="11"/>
      <c r="J13" t="str">
        <f t="shared" si="0"/>
        <v/>
      </c>
    </row>
    <row r="14" spans="1:10" x14ac:dyDescent="0.35">
      <c r="A14" s="13" t="s">
        <v>33</v>
      </c>
      <c r="B14" s="13" t="s">
        <v>34</v>
      </c>
      <c r="C14" s="13" t="s">
        <v>35</v>
      </c>
      <c r="D14" s="14">
        <v>5000</v>
      </c>
      <c r="E14" s="14">
        <v>105.85</v>
      </c>
      <c r="F14" s="15">
        <v>2.5076055322216347E-2</v>
      </c>
      <c r="G14" s="16"/>
      <c r="H14" s="16"/>
      <c r="I14" s="11"/>
      <c r="J14" t="str">
        <f t="shared" si="0"/>
        <v/>
      </c>
    </row>
    <row r="15" spans="1:10" x14ac:dyDescent="0.35">
      <c r="A15" s="13" t="s">
        <v>36</v>
      </c>
      <c r="B15" s="13" t="s">
        <v>37</v>
      </c>
      <c r="C15" s="13" t="s">
        <v>38</v>
      </c>
      <c r="D15" s="14">
        <v>1500</v>
      </c>
      <c r="E15" s="14">
        <v>100.08750000000001</v>
      </c>
      <c r="F15" s="15">
        <v>2.3710908711028142E-2</v>
      </c>
      <c r="G15" s="16"/>
      <c r="H15" s="16"/>
      <c r="I15" s="11"/>
      <c r="J15" t="str">
        <f t="shared" si="0"/>
        <v/>
      </c>
    </row>
    <row r="16" spans="1:10" x14ac:dyDescent="0.35">
      <c r="A16" s="13" t="s">
        <v>39</v>
      </c>
      <c r="B16" s="13" t="s">
        <v>40</v>
      </c>
      <c r="C16" s="13" t="s">
        <v>21</v>
      </c>
      <c r="D16" s="14">
        <v>10000</v>
      </c>
      <c r="E16" s="14">
        <v>99.41</v>
      </c>
      <c r="F16" s="15">
        <v>2.3550407742858076E-2</v>
      </c>
      <c r="G16" s="16"/>
      <c r="H16" s="16"/>
      <c r="I16" s="11"/>
      <c r="J16" t="str">
        <f t="shared" si="0"/>
        <v/>
      </c>
    </row>
    <row r="17" spans="1:10" x14ac:dyDescent="0.35">
      <c r="A17" s="13" t="s">
        <v>41</v>
      </c>
      <c r="B17" s="13" t="s">
        <v>42</v>
      </c>
      <c r="C17" s="13" t="s">
        <v>18</v>
      </c>
      <c r="D17" s="14">
        <v>18000</v>
      </c>
      <c r="E17" s="14">
        <v>93.816000000000003</v>
      </c>
      <c r="F17" s="15">
        <v>2.2225179084639102E-2</v>
      </c>
      <c r="G17" s="16"/>
      <c r="H17" s="16"/>
      <c r="I17" s="11"/>
      <c r="J17" t="str">
        <f t="shared" si="0"/>
        <v/>
      </c>
    </row>
    <row r="18" spans="1:10" x14ac:dyDescent="0.35">
      <c r="A18" s="13" t="s">
        <v>43</v>
      </c>
      <c r="B18" s="13" t="s">
        <v>44</v>
      </c>
      <c r="C18" s="13" t="s">
        <v>45</v>
      </c>
      <c r="D18" s="14">
        <v>750</v>
      </c>
      <c r="E18" s="14">
        <v>89.752499999999998</v>
      </c>
      <c r="F18" s="15">
        <v>2.1262528628315756E-2</v>
      </c>
      <c r="G18" s="16"/>
      <c r="H18" s="16"/>
      <c r="I18" s="11"/>
      <c r="J18" t="str">
        <f t="shared" si="0"/>
        <v/>
      </c>
    </row>
    <row r="19" spans="1:10" x14ac:dyDescent="0.35">
      <c r="A19" s="13" t="s">
        <v>46</v>
      </c>
      <c r="B19" s="13" t="s">
        <v>47</v>
      </c>
      <c r="C19" s="13" t="s">
        <v>48</v>
      </c>
      <c r="D19" s="14">
        <v>23000</v>
      </c>
      <c r="E19" s="14">
        <v>88.515500000000003</v>
      </c>
      <c r="F19" s="15">
        <v>2.096948110414399E-2</v>
      </c>
      <c r="G19" s="16"/>
      <c r="H19" s="16"/>
      <c r="I19" s="11"/>
      <c r="J19" t="str">
        <f t="shared" si="0"/>
        <v/>
      </c>
    </row>
    <row r="20" spans="1:10" x14ac:dyDescent="0.35">
      <c r="A20" s="13" t="s">
        <v>49</v>
      </c>
      <c r="B20" s="13" t="s">
        <v>50</v>
      </c>
      <c r="C20" s="13" t="s">
        <v>51</v>
      </c>
      <c r="D20" s="14">
        <v>5000</v>
      </c>
      <c r="E20" s="14">
        <v>87.85</v>
      </c>
      <c r="F20" s="15">
        <v>2.0811822957550366E-2</v>
      </c>
      <c r="G20" s="16"/>
      <c r="H20" s="16"/>
      <c r="I20" s="11"/>
      <c r="J20" t="str">
        <f t="shared" si="0"/>
        <v/>
      </c>
    </row>
    <row r="21" spans="1:10" x14ac:dyDescent="0.35">
      <c r="A21" s="13" t="s">
        <v>52</v>
      </c>
      <c r="B21" s="13" t="s">
        <v>53</v>
      </c>
      <c r="C21" s="13" t="s">
        <v>54</v>
      </c>
      <c r="D21" s="14">
        <v>32000</v>
      </c>
      <c r="E21" s="14">
        <v>84.08</v>
      </c>
      <c r="F21" s="15">
        <v>1.9918703178950878E-2</v>
      </c>
      <c r="G21" s="16"/>
      <c r="H21" s="16"/>
      <c r="I21" s="11"/>
      <c r="J21" t="str">
        <f t="shared" si="0"/>
        <v/>
      </c>
    </row>
    <row r="22" spans="1:10" x14ac:dyDescent="0.35">
      <c r="A22" s="13" t="s">
        <v>55</v>
      </c>
      <c r="B22" s="13" t="s">
        <v>56</v>
      </c>
      <c r="C22" s="13" t="s">
        <v>57</v>
      </c>
      <c r="D22" s="14">
        <v>72848</v>
      </c>
      <c r="E22" s="14">
        <v>82.595062400000003</v>
      </c>
      <c r="F22" s="15">
        <v>1.9566918791538133E-2</v>
      </c>
      <c r="G22" s="16"/>
      <c r="H22" s="16"/>
      <c r="I22" s="11"/>
      <c r="J22" t="str">
        <f t="shared" si="0"/>
        <v/>
      </c>
    </row>
    <row r="23" spans="1:10" x14ac:dyDescent="0.35">
      <c r="A23" s="13" t="s">
        <v>58</v>
      </c>
      <c r="B23" s="13" t="s">
        <v>59</v>
      </c>
      <c r="C23" s="13" t="s">
        <v>60</v>
      </c>
      <c r="D23" s="14">
        <v>1741</v>
      </c>
      <c r="E23" s="14">
        <v>80.590890000000002</v>
      </c>
      <c r="F23" s="15">
        <v>1.9092126746402007E-2</v>
      </c>
      <c r="G23" s="16"/>
      <c r="H23" s="16"/>
      <c r="I23" s="11"/>
      <c r="J23" t="str">
        <f t="shared" si="0"/>
        <v/>
      </c>
    </row>
    <row r="24" spans="1:10" x14ac:dyDescent="0.35">
      <c r="A24" s="13" t="s">
        <v>61</v>
      </c>
      <c r="B24" s="13" t="s">
        <v>62</v>
      </c>
      <c r="C24" s="13" t="s">
        <v>63</v>
      </c>
      <c r="D24" s="14">
        <v>22000</v>
      </c>
      <c r="E24" s="14">
        <v>80.366</v>
      </c>
      <c r="F24" s="15">
        <v>1.9038849901041464E-2</v>
      </c>
      <c r="G24" s="16"/>
      <c r="H24" s="16"/>
      <c r="I24" s="11"/>
      <c r="J24" t="str">
        <f t="shared" si="0"/>
        <v/>
      </c>
    </row>
    <row r="25" spans="1:10" x14ac:dyDescent="0.35">
      <c r="A25" s="13" t="s">
        <v>64</v>
      </c>
      <c r="B25" s="13" t="s">
        <v>65</v>
      </c>
      <c r="C25" s="13" t="s">
        <v>66</v>
      </c>
      <c r="D25" s="14">
        <v>10000</v>
      </c>
      <c r="E25" s="14">
        <v>79.435000000000002</v>
      </c>
      <c r="F25" s="15">
        <v>1.881829432706902E-2</v>
      </c>
      <c r="G25" s="16"/>
      <c r="H25" s="16"/>
      <c r="I25" s="11"/>
      <c r="J25" t="str">
        <f t="shared" si="0"/>
        <v/>
      </c>
    </row>
    <row r="26" spans="1:10" x14ac:dyDescent="0.35">
      <c r="A26" s="13" t="s">
        <v>67</v>
      </c>
      <c r="B26" s="13" t="s">
        <v>68</v>
      </c>
      <c r="C26" s="13" t="s">
        <v>69</v>
      </c>
      <c r="D26" s="14">
        <v>25697</v>
      </c>
      <c r="E26" s="14">
        <v>77.373666999999998</v>
      </c>
      <c r="F26" s="15">
        <v>1.8329960833016017E-2</v>
      </c>
      <c r="G26" s="16"/>
      <c r="H26" s="16"/>
      <c r="I26" s="11"/>
      <c r="J26" t="str">
        <f t="shared" si="0"/>
        <v/>
      </c>
    </row>
    <row r="27" spans="1:10" x14ac:dyDescent="0.35">
      <c r="A27" s="13" t="s">
        <v>70</v>
      </c>
      <c r="B27" s="13" t="s">
        <v>71</v>
      </c>
      <c r="C27" s="13" t="s">
        <v>35</v>
      </c>
      <c r="D27" s="14">
        <v>5000</v>
      </c>
      <c r="E27" s="14">
        <v>75.495000000000005</v>
      </c>
      <c r="F27" s="15">
        <v>1.7884901242803241E-2</v>
      </c>
      <c r="G27" s="16"/>
      <c r="H27" s="16"/>
      <c r="I27" s="11"/>
      <c r="J27" t="str">
        <f t="shared" si="0"/>
        <v/>
      </c>
    </row>
    <row r="28" spans="1:10" x14ac:dyDescent="0.35">
      <c r="A28" s="13" t="s">
        <v>72</v>
      </c>
      <c r="B28" s="13" t="s">
        <v>73</v>
      </c>
      <c r="C28" s="13" t="s">
        <v>66</v>
      </c>
      <c r="D28" s="14">
        <v>2171</v>
      </c>
      <c r="E28" s="14">
        <v>74.851737999999997</v>
      </c>
      <c r="F28" s="15">
        <v>1.7732511318394366E-2</v>
      </c>
      <c r="G28" s="16"/>
      <c r="H28" s="16"/>
      <c r="I28" s="11"/>
      <c r="J28" t="str">
        <f t="shared" si="0"/>
        <v/>
      </c>
    </row>
    <row r="29" spans="1:10" x14ac:dyDescent="0.35">
      <c r="A29" s="13" t="s">
        <v>74</v>
      </c>
      <c r="B29" s="13" t="s">
        <v>75</v>
      </c>
      <c r="C29" s="13" t="s">
        <v>57</v>
      </c>
      <c r="D29" s="14">
        <v>20000</v>
      </c>
      <c r="E29" s="14">
        <v>74.8</v>
      </c>
      <c r="F29" s="15">
        <v>1.7720254493167529E-2</v>
      </c>
      <c r="G29" s="16"/>
      <c r="H29" s="16"/>
      <c r="I29" s="11"/>
      <c r="J29" t="str">
        <f t="shared" si="0"/>
        <v/>
      </c>
    </row>
    <row r="30" spans="1:10" x14ac:dyDescent="0.35">
      <c r="A30" s="13" t="s">
        <v>76</v>
      </c>
      <c r="B30" s="13" t="s">
        <v>77</v>
      </c>
      <c r="C30" s="13" t="s">
        <v>45</v>
      </c>
      <c r="D30" s="14">
        <v>2500</v>
      </c>
      <c r="E30" s="14">
        <v>73.75</v>
      </c>
      <c r="F30" s="15">
        <v>1.747150760522868E-2</v>
      </c>
      <c r="G30" s="16"/>
      <c r="H30" s="16"/>
      <c r="I30" s="11"/>
      <c r="J30" t="str">
        <f t="shared" si="0"/>
        <v/>
      </c>
    </row>
    <row r="31" spans="1:10" x14ac:dyDescent="0.35">
      <c r="A31" s="13" t="s">
        <v>78</v>
      </c>
      <c r="B31" s="13" t="s">
        <v>79</v>
      </c>
      <c r="C31" s="13" t="s">
        <v>80</v>
      </c>
      <c r="D31" s="14">
        <v>29429</v>
      </c>
      <c r="E31" s="14">
        <v>73.601928999999998</v>
      </c>
      <c r="F31" s="15">
        <v>1.7436429319091541E-2</v>
      </c>
      <c r="G31" s="16"/>
      <c r="H31" s="16"/>
      <c r="I31" s="11"/>
      <c r="J31" t="str">
        <f t="shared" si="0"/>
        <v/>
      </c>
    </row>
    <row r="32" spans="1:10" x14ac:dyDescent="0.35">
      <c r="A32" s="13" t="s">
        <v>81</v>
      </c>
      <c r="B32" s="13" t="s">
        <v>82</v>
      </c>
      <c r="C32" s="13" t="s">
        <v>83</v>
      </c>
      <c r="D32" s="14">
        <v>50000</v>
      </c>
      <c r="E32" s="14">
        <v>72.295000000000002</v>
      </c>
      <c r="F32" s="15">
        <v>1.7126815489084846E-2</v>
      </c>
      <c r="G32" s="16"/>
      <c r="H32" s="16"/>
      <c r="I32" s="11"/>
      <c r="J32" t="str">
        <f t="shared" si="0"/>
        <v/>
      </c>
    </row>
    <row r="33" spans="1:10" x14ac:dyDescent="0.35">
      <c r="A33" s="13" t="s">
        <v>84</v>
      </c>
      <c r="B33" s="13" t="s">
        <v>85</v>
      </c>
      <c r="C33" s="13" t="s">
        <v>86</v>
      </c>
      <c r="D33" s="14">
        <v>20000</v>
      </c>
      <c r="E33" s="14">
        <v>71.8</v>
      </c>
      <c r="F33" s="15">
        <v>1.7009549099056533E-2</v>
      </c>
      <c r="G33" s="16"/>
      <c r="H33" s="16"/>
      <c r="I33" s="11"/>
      <c r="J33" t="str">
        <f t="shared" si="0"/>
        <v/>
      </c>
    </row>
    <row r="34" spans="1:10" x14ac:dyDescent="0.35">
      <c r="A34" s="13" t="s">
        <v>87</v>
      </c>
      <c r="B34" s="13" t="s">
        <v>88</v>
      </c>
      <c r="C34" s="13" t="s">
        <v>89</v>
      </c>
      <c r="D34" s="14">
        <v>2000</v>
      </c>
      <c r="E34" s="14">
        <v>67.843999999999994</v>
      </c>
      <c r="F34" s="15">
        <v>1.6072365586022163E-2</v>
      </c>
      <c r="G34" s="16"/>
      <c r="H34" s="16"/>
      <c r="I34" s="11"/>
      <c r="J34" t="str">
        <f t="shared" si="0"/>
        <v/>
      </c>
    </row>
    <row r="35" spans="1:10" x14ac:dyDescent="0.35">
      <c r="A35" s="13" t="s">
        <v>90</v>
      </c>
      <c r="B35" s="13" t="s">
        <v>91</v>
      </c>
      <c r="C35" s="13" t="s">
        <v>69</v>
      </c>
      <c r="D35" s="14">
        <v>40000</v>
      </c>
      <c r="E35" s="14">
        <v>65.652000000000001</v>
      </c>
      <c r="F35" s="15">
        <v>1.5553076844725061E-2</v>
      </c>
      <c r="G35" s="16"/>
      <c r="H35" s="16"/>
      <c r="I35" s="11"/>
      <c r="J35" t="str">
        <f t="shared" si="0"/>
        <v/>
      </c>
    </row>
    <row r="36" spans="1:10" x14ac:dyDescent="0.35">
      <c r="A36" s="13" t="s">
        <v>92</v>
      </c>
      <c r="B36" s="13" t="s">
        <v>93</v>
      </c>
      <c r="C36" s="13" t="s">
        <v>38</v>
      </c>
      <c r="D36" s="14">
        <v>31189</v>
      </c>
      <c r="E36" s="14">
        <v>65.0820863</v>
      </c>
      <c r="F36" s="15">
        <v>1.5418063264469142E-2</v>
      </c>
      <c r="G36" s="16"/>
      <c r="H36" s="16"/>
      <c r="I36" s="11"/>
      <c r="J36" t="str">
        <f t="shared" si="0"/>
        <v/>
      </c>
    </row>
    <row r="37" spans="1:10" x14ac:dyDescent="0.35">
      <c r="A37" s="13" t="s">
        <v>94</v>
      </c>
      <c r="B37" s="13" t="s">
        <v>95</v>
      </c>
      <c r="C37" s="13" t="s">
        <v>96</v>
      </c>
      <c r="D37" s="14">
        <v>1690</v>
      </c>
      <c r="E37" s="14">
        <v>61.306440000000002</v>
      </c>
      <c r="F37" s="15">
        <v>1.4523605867247399E-2</v>
      </c>
      <c r="G37" s="16"/>
      <c r="H37" s="16"/>
      <c r="I37" s="11"/>
      <c r="J37" t="str">
        <f t="shared" si="0"/>
        <v/>
      </c>
    </row>
    <row r="38" spans="1:10" x14ac:dyDescent="0.35">
      <c r="A38" s="13" t="s">
        <v>97</v>
      </c>
      <c r="B38" s="13" t="s">
        <v>98</v>
      </c>
      <c r="C38" s="13" t="s">
        <v>99</v>
      </c>
      <c r="D38" s="14">
        <v>1000</v>
      </c>
      <c r="E38" s="14">
        <v>51.634999999999998</v>
      </c>
      <c r="F38" s="15">
        <v>1.2232424341640446E-2</v>
      </c>
      <c r="G38" s="16"/>
      <c r="H38" s="16"/>
      <c r="I38" s="11"/>
      <c r="J38" t="str">
        <f t="shared" si="0"/>
        <v/>
      </c>
    </row>
    <row r="39" spans="1:10" x14ac:dyDescent="0.35">
      <c r="A39" s="13" t="s">
        <v>100</v>
      </c>
      <c r="B39" s="13" t="s">
        <v>101</v>
      </c>
      <c r="C39" s="13" t="s">
        <v>21</v>
      </c>
      <c r="D39" s="14">
        <v>30000</v>
      </c>
      <c r="E39" s="14">
        <v>47.55</v>
      </c>
      <c r="F39" s="15">
        <v>1.1264680496659305E-2</v>
      </c>
      <c r="G39" s="16"/>
      <c r="H39" s="16"/>
      <c r="I39" s="11"/>
      <c r="J39" t="str">
        <f t="shared" ref="J39:J57" si="1">IFERROR(IF(VALUE(XDO_?PER_NET_ASST_EQU?)&lt;0.0001,"$",""),"")</f>
        <v/>
      </c>
    </row>
    <row r="40" spans="1:10" x14ac:dyDescent="0.35">
      <c r="A40" s="13" t="s">
        <v>102</v>
      </c>
      <c r="B40" s="13" t="s">
        <v>103</v>
      </c>
      <c r="C40" s="13" t="s">
        <v>104</v>
      </c>
      <c r="D40" s="14">
        <v>5000</v>
      </c>
      <c r="E40" s="14">
        <v>47.09</v>
      </c>
      <c r="F40" s="15">
        <v>1.1155705669562284E-2</v>
      </c>
      <c r="G40" s="16"/>
      <c r="H40" s="16"/>
      <c r="I40" s="11"/>
      <c r="J40" t="str">
        <f t="shared" si="1"/>
        <v/>
      </c>
    </row>
    <row r="41" spans="1:10" x14ac:dyDescent="0.35">
      <c r="A41" s="13" t="s">
        <v>105</v>
      </c>
      <c r="B41" s="13" t="s">
        <v>106</v>
      </c>
      <c r="C41" s="13" t="s">
        <v>69</v>
      </c>
      <c r="D41" s="14">
        <v>43008</v>
      </c>
      <c r="E41" s="14">
        <v>44.835839999999997</v>
      </c>
      <c r="F41" s="15">
        <v>1.0621691112499203E-2</v>
      </c>
      <c r="G41" s="16"/>
      <c r="H41" s="16"/>
      <c r="I41" s="11"/>
      <c r="J41" t="str">
        <f t="shared" si="1"/>
        <v/>
      </c>
    </row>
    <row r="42" spans="1:10" x14ac:dyDescent="0.35">
      <c r="A42" s="13" t="s">
        <v>107</v>
      </c>
      <c r="B42" s="13" t="s">
        <v>108</v>
      </c>
      <c r="C42" s="13" t="s">
        <v>66</v>
      </c>
      <c r="D42" s="14">
        <v>23499</v>
      </c>
      <c r="E42" s="14">
        <v>43.689340799999997</v>
      </c>
      <c r="F42" s="15">
        <v>1.0350083390571222E-2</v>
      </c>
      <c r="G42" s="16"/>
      <c r="H42" s="16"/>
      <c r="I42" s="11"/>
      <c r="J42" t="str">
        <f t="shared" si="1"/>
        <v/>
      </c>
    </row>
    <row r="43" spans="1:10" x14ac:dyDescent="0.35">
      <c r="A43" s="13" t="s">
        <v>109</v>
      </c>
      <c r="B43" s="13" t="s">
        <v>110</v>
      </c>
      <c r="C43" s="13" t="s">
        <v>111</v>
      </c>
      <c r="D43" s="14">
        <v>5000</v>
      </c>
      <c r="E43" s="14">
        <v>42.5</v>
      </c>
      <c r="F43" s="15">
        <v>1.006832641657246E-2</v>
      </c>
      <c r="G43" s="16"/>
      <c r="H43" s="16"/>
      <c r="I43" s="11"/>
      <c r="J43" t="str">
        <f t="shared" si="1"/>
        <v/>
      </c>
    </row>
    <row r="44" spans="1:10" x14ac:dyDescent="0.35">
      <c r="A44" s="13" t="s">
        <v>112</v>
      </c>
      <c r="B44" s="13" t="s">
        <v>113</v>
      </c>
      <c r="C44" s="13" t="s">
        <v>114</v>
      </c>
      <c r="D44" s="14">
        <v>1000</v>
      </c>
      <c r="E44" s="14">
        <v>42.32</v>
      </c>
      <c r="F44" s="15">
        <v>1.0025684092925799E-2</v>
      </c>
      <c r="G44" s="16"/>
      <c r="H44" s="16"/>
      <c r="I44" s="11"/>
      <c r="J44" t="str">
        <f t="shared" si="1"/>
        <v/>
      </c>
    </row>
    <row r="45" spans="1:10" x14ac:dyDescent="0.35">
      <c r="A45" s="13" t="s">
        <v>115</v>
      </c>
      <c r="B45" s="13" t="s">
        <v>116</v>
      </c>
      <c r="C45" s="13" t="s">
        <v>96</v>
      </c>
      <c r="D45" s="14">
        <v>10000</v>
      </c>
      <c r="E45" s="14">
        <v>40.924999999999997</v>
      </c>
      <c r="F45" s="15">
        <v>9.695206084664185E-3</v>
      </c>
      <c r="G45" s="16"/>
      <c r="H45" s="16"/>
      <c r="I45" s="11"/>
      <c r="J45" t="str">
        <f t="shared" si="1"/>
        <v/>
      </c>
    </row>
    <row r="46" spans="1:10" x14ac:dyDescent="0.35">
      <c r="A46" s="13" t="s">
        <v>117</v>
      </c>
      <c r="B46" s="13" t="s">
        <v>118</v>
      </c>
      <c r="C46" s="13" t="s">
        <v>35</v>
      </c>
      <c r="D46" s="14">
        <v>1500</v>
      </c>
      <c r="E46" s="14">
        <v>35.625</v>
      </c>
      <c r="F46" s="15">
        <v>8.4396265550680909E-3</v>
      </c>
      <c r="G46" s="16"/>
      <c r="H46" s="16"/>
      <c r="I46" s="11"/>
      <c r="J46" t="str">
        <f t="shared" si="1"/>
        <v/>
      </c>
    </row>
    <row r="47" spans="1:10" x14ac:dyDescent="0.35">
      <c r="A47" s="13" t="s">
        <v>119</v>
      </c>
      <c r="B47" s="13" t="s">
        <v>120</v>
      </c>
      <c r="C47" s="13" t="s">
        <v>60</v>
      </c>
      <c r="D47" s="14">
        <v>27164</v>
      </c>
      <c r="E47" s="14">
        <v>35.468034799999998</v>
      </c>
      <c r="F47" s="15">
        <v>8.4024412169588537E-3</v>
      </c>
      <c r="G47" s="16"/>
      <c r="H47" s="16"/>
      <c r="I47" s="11"/>
      <c r="J47" t="str">
        <f t="shared" si="1"/>
        <v/>
      </c>
    </row>
    <row r="48" spans="1:10" x14ac:dyDescent="0.35">
      <c r="A48" s="13" t="s">
        <v>121</v>
      </c>
      <c r="B48" s="13" t="s">
        <v>122</v>
      </c>
      <c r="C48" s="13" t="s">
        <v>57</v>
      </c>
      <c r="D48" s="14">
        <v>6856</v>
      </c>
      <c r="E48" s="14">
        <v>33.752088000000001</v>
      </c>
      <c r="F48" s="15">
        <v>7.9959303347030188E-3</v>
      </c>
      <c r="G48" s="16"/>
      <c r="H48" s="16"/>
      <c r="I48" s="11"/>
      <c r="J48" t="str">
        <f t="shared" si="1"/>
        <v/>
      </c>
    </row>
    <row r="49" spans="1:10" x14ac:dyDescent="0.35">
      <c r="A49" s="13" t="s">
        <v>123</v>
      </c>
      <c r="B49" s="13" t="s">
        <v>124</v>
      </c>
      <c r="C49" s="13" t="s">
        <v>66</v>
      </c>
      <c r="D49" s="14">
        <v>500</v>
      </c>
      <c r="E49" s="14">
        <v>29.577500000000001</v>
      </c>
      <c r="F49" s="15">
        <v>7.0069629314393391E-3</v>
      </c>
      <c r="G49" s="16"/>
      <c r="H49" s="16"/>
      <c r="I49" s="11"/>
      <c r="J49" t="str">
        <f t="shared" si="1"/>
        <v/>
      </c>
    </row>
    <row r="50" spans="1:10" x14ac:dyDescent="0.35">
      <c r="A50" s="13" t="s">
        <v>125</v>
      </c>
      <c r="B50" s="13" t="s">
        <v>126</v>
      </c>
      <c r="C50" s="13" t="s">
        <v>127</v>
      </c>
      <c r="D50" s="14">
        <v>2510</v>
      </c>
      <c r="E50" s="14">
        <v>28.485990000000001</v>
      </c>
      <c r="F50" s="15">
        <v>6.7483822498639739E-3</v>
      </c>
      <c r="G50" s="16"/>
      <c r="H50" s="16"/>
      <c r="I50" s="11"/>
      <c r="J50" t="str">
        <f t="shared" si="1"/>
        <v/>
      </c>
    </row>
    <row r="51" spans="1:10" x14ac:dyDescent="0.35">
      <c r="A51" s="13" t="s">
        <v>128</v>
      </c>
      <c r="B51" s="13" t="s">
        <v>129</v>
      </c>
      <c r="C51" s="13" t="s">
        <v>69</v>
      </c>
      <c r="D51" s="14">
        <v>3812</v>
      </c>
      <c r="E51" s="14">
        <v>27.776138</v>
      </c>
      <c r="F51" s="15">
        <v>6.5802170347238143E-3</v>
      </c>
      <c r="G51" s="16"/>
      <c r="H51" s="16"/>
      <c r="I51" s="11"/>
      <c r="J51" t="str">
        <f t="shared" si="1"/>
        <v/>
      </c>
    </row>
    <row r="52" spans="1:10" x14ac:dyDescent="0.35">
      <c r="A52" s="13" t="s">
        <v>130</v>
      </c>
      <c r="B52" s="13" t="s">
        <v>131</v>
      </c>
      <c r="C52" s="13" t="s">
        <v>38</v>
      </c>
      <c r="D52" s="14">
        <v>7500</v>
      </c>
      <c r="E52" s="14">
        <v>27.074999999999999</v>
      </c>
      <c r="F52" s="15">
        <v>6.414116181851749E-3</v>
      </c>
      <c r="G52" s="16"/>
      <c r="H52" s="16"/>
      <c r="I52" s="11"/>
      <c r="J52" t="str">
        <f t="shared" si="1"/>
        <v/>
      </c>
    </row>
    <row r="53" spans="1:10" x14ac:dyDescent="0.35">
      <c r="A53" s="13" t="s">
        <v>132</v>
      </c>
      <c r="B53" s="13" t="s">
        <v>133</v>
      </c>
      <c r="C53" s="13" t="s">
        <v>18</v>
      </c>
      <c r="D53" s="14">
        <v>5818</v>
      </c>
      <c r="E53" s="14">
        <v>25.820284000000001</v>
      </c>
      <c r="F53" s="15">
        <v>6.1168717054259575E-3</v>
      </c>
      <c r="G53" s="16"/>
      <c r="H53" s="16"/>
      <c r="I53" s="11"/>
      <c r="J53" t="str">
        <f t="shared" si="1"/>
        <v/>
      </c>
    </row>
    <row r="54" spans="1:10" x14ac:dyDescent="0.35">
      <c r="A54" s="13" t="s">
        <v>134</v>
      </c>
      <c r="B54" s="13" t="s">
        <v>135</v>
      </c>
      <c r="C54" s="13" t="s">
        <v>99</v>
      </c>
      <c r="D54" s="14">
        <v>2000</v>
      </c>
      <c r="E54" s="14">
        <v>24.66</v>
      </c>
      <c r="F54" s="15">
        <v>5.841998339592396E-3</v>
      </c>
      <c r="G54" s="16"/>
      <c r="H54" s="16"/>
      <c r="I54" s="11"/>
      <c r="J54" t="str">
        <f t="shared" si="1"/>
        <v/>
      </c>
    </row>
    <row r="55" spans="1:10" x14ac:dyDescent="0.35">
      <c r="A55" s="13" t="s">
        <v>136</v>
      </c>
      <c r="B55" s="13" t="s">
        <v>137</v>
      </c>
      <c r="C55" s="13" t="s">
        <v>45</v>
      </c>
      <c r="D55" s="14">
        <v>2067</v>
      </c>
      <c r="E55" s="14">
        <v>23.443913999999999</v>
      </c>
      <c r="F55" s="15">
        <v>5.5539053796247739E-3</v>
      </c>
      <c r="G55" s="16"/>
      <c r="H55" s="16"/>
      <c r="I55" s="11"/>
      <c r="J55" t="str">
        <f t="shared" si="1"/>
        <v/>
      </c>
    </row>
    <row r="56" spans="1:10" x14ac:dyDescent="0.35">
      <c r="A56" s="13" t="s">
        <v>138</v>
      </c>
      <c r="B56" s="13" t="s">
        <v>139</v>
      </c>
      <c r="C56" s="13" t="s">
        <v>140</v>
      </c>
      <c r="D56" s="14">
        <v>4000</v>
      </c>
      <c r="E56" s="14">
        <v>21.72</v>
      </c>
      <c r="F56" s="15">
        <v>5.1455070533636188E-3</v>
      </c>
      <c r="G56" s="16"/>
      <c r="H56" s="16"/>
      <c r="I56" s="11"/>
      <c r="J56" t="str">
        <f t="shared" si="1"/>
        <v/>
      </c>
    </row>
    <row r="57" spans="1:10" x14ac:dyDescent="0.35">
      <c r="A57" s="13" t="s">
        <v>141</v>
      </c>
      <c r="B57" s="13" t="s">
        <v>142</v>
      </c>
      <c r="C57" s="13" t="s">
        <v>86</v>
      </c>
      <c r="D57" s="14">
        <v>10000</v>
      </c>
      <c r="E57" s="14">
        <v>15.555999999999999</v>
      </c>
      <c r="F57" s="15">
        <v>3.6852443702635571E-3</v>
      </c>
      <c r="G57" s="16"/>
      <c r="H57" s="16"/>
      <c r="I57" s="11"/>
      <c r="J57" t="str">
        <f t="shared" si="1"/>
        <v/>
      </c>
    </row>
    <row r="58" spans="1:10" x14ac:dyDescent="0.35">
      <c r="A58" s="17"/>
      <c r="B58" s="7" t="s">
        <v>143</v>
      </c>
      <c r="C58" s="17"/>
      <c r="D58" s="18"/>
      <c r="E58" s="19">
        <v>3683.0630923000008</v>
      </c>
      <c r="F58" s="20">
        <v>0.87252426884957968</v>
      </c>
      <c r="G58" s="21"/>
      <c r="H58" s="22"/>
      <c r="I58" s="11"/>
    </row>
    <row r="59" spans="1:10" x14ac:dyDescent="0.35">
      <c r="A59" s="6"/>
      <c r="B59" s="7" t="s">
        <v>144</v>
      </c>
      <c r="C59" s="6"/>
      <c r="D59" s="8"/>
      <c r="E59" s="12" t="s">
        <v>145</v>
      </c>
      <c r="F59" s="12" t="s">
        <v>145</v>
      </c>
      <c r="G59" s="21"/>
      <c r="H59" s="22"/>
      <c r="I59" s="11"/>
    </row>
    <row r="60" spans="1:10" x14ac:dyDescent="0.35">
      <c r="A60" s="17"/>
      <c r="B60" s="7" t="s">
        <v>143</v>
      </c>
      <c r="C60" s="17"/>
      <c r="D60" s="18"/>
      <c r="E60" s="19" t="s">
        <v>145</v>
      </c>
      <c r="F60" s="20" t="s">
        <v>145</v>
      </c>
      <c r="G60" s="21"/>
      <c r="H60" s="22"/>
      <c r="I60" s="11"/>
    </row>
    <row r="61" spans="1:10" x14ac:dyDescent="0.35">
      <c r="A61" s="17"/>
      <c r="B61" s="23" t="s">
        <v>146</v>
      </c>
      <c r="C61" s="17"/>
      <c r="D61" s="18"/>
      <c r="E61" s="19" t="s">
        <v>145</v>
      </c>
      <c r="F61" s="20" t="s">
        <v>145</v>
      </c>
      <c r="G61" s="21"/>
      <c r="H61" s="22"/>
      <c r="I61" s="11"/>
    </row>
    <row r="62" spans="1:10" x14ac:dyDescent="0.35">
      <c r="A62" s="17"/>
      <c r="B62" s="7" t="s">
        <v>143</v>
      </c>
      <c r="C62" s="17"/>
      <c r="D62" s="18"/>
      <c r="E62" s="19" t="s">
        <v>145</v>
      </c>
      <c r="F62" s="20" t="s">
        <v>145</v>
      </c>
      <c r="G62" s="21"/>
      <c r="H62" s="22"/>
      <c r="I62" s="11"/>
    </row>
    <row r="63" spans="1:10" x14ac:dyDescent="0.35">
      <c r="A63" s="17"/>
      <c r="B63" s="23" t="s">
        <v>147</v>
      </c>
      <c r="C63" s="17"/>
      <c r="D63" s="18"/>
      <c r="E63" s="19" t="s">
        <v>145</v>
      </c>
      <c r="F63" s="20" t="s">
        <v>145</v>
      </c>
      <c r="G63" s="21"/>
      <c r="H63" s="22"/>
      <c r="I63" s="11"/>
    </row>
    <row r="64" spans="1:10" x14ac:dyDescent="0.35">
      <c r="A64" s="17"/>
      <c r="B64" s="7" t="s">
        <v>143</v>
      </c>
      <c r="C64" s="17"/>
      <c r="D64" s="18"/>
      <c r="E64" s="19" t="s">
        <v>145</v>
      </c>
      <c r="F64" s="20" t="s">
        <v>145</v>
      </c>
      <c r="G64" s="21"/>
      <c r="H64" s="22"/>
      <c r="I64" s="11"/>
    </row>
    <row r="65" spans="1:9" x14ac:dyDescent="0.35">
      <c r="A65" s="17"/>
      <c r="B65" s="7" t="s">
        <v>148</v>
      </c>
      <c r="C65" s="17"/>
      <c r="D65" s="18"/>
      <c r="E65" s="19">
        <v>3683.0630923000008</v>
      </c>
      <c r="F65" s="20">
        <v>0.87252426884957968</v>
      </c>
      <c r="G65" s="21"/>
      <c r="H65" s="22"/>
      <c r="I65" s="11"/>
    </row>
    <row r="66" spans="1:9" x14ac:dyDescent="0.35">
      <c r="A66" s="17"/>
      <c r="B66" s="7"/>
      <c r="C66" s="17"/>
      <c r="D66" s="18"/>
      <c r="E66" s="19"/>
      <c r="F66" s="24"/>
      <c r="G66" s="21"/>
      <c r="H66" s="22"/>
      <c r="I66" s="11"/>
    </row>
    <row r="67" spans="1:9" x14ac:dyDescent="0.35">
      <c r="A67" s="6"/>
      <c r="B67" s="7" t="s">
        <v>149</v>
      </c>
      <c r="C67" s="6"/>
      <c r="D67" s="6"/>
      <c r="E67" s="6"/>
      <c r="F67" s="25"/>
      <c r="G67" s="26"/>
      <c r="H67" s="6"/>
      <c r="I67" s="11"/>
    </row>
    <row r="68" spans="1:9" x14ac:dyDescent="0.35">
      <c r="A68" s="13"/>
      <c r="B68" s="7" t="s">
        <v>150</v>
      </c>
      <c r="C68" s="13"/>
      <c r="D68" s="27"/>
      <c r="E68" s="19" t="s">
        <v>145</v>
      </c>
      <c r="F68" s="28" t="s">
        <v>145</v>
      </c>
      <c r="G68" s="11"/>
      <c r="H68" s="13"/>
      <c r="I68" s="11"/>
    </row>
    <row r="69" spans="1:9" x14ac:dyDescent="0.35">
      <c r="A69" s="6"/>
      <c r="B69" s="7" t="s">
        <v>143</v>
      </c>
      <c r="C69" s="6"/>
      <c r="D69" s="8"/>
      <c r="E69" s="29" t="s">
        <v>145</v>
      </c>
      <c r="F69" s="20" t="s">
        <v>145</v>
      </c>
      <c r="G69" s="30"/>
      <c r="H69" s="20"/>
      <c r="I69" s="11"/>
    </row>
    <row r="70" spans="1:9" x14ac:dyDescent="0.35">
      <c r="A70" s="17"/>
      <c r="B70" s="7" t="s">
        <v>151</v>
      </c>
      <c r="C70" s="17"/>
      <c r="D70" s="18"/>
      <c r="E70" s="12" t="s">
        <v>145</v>
      </c>
      <c r="F70" s="12" t="s">
        <v>145</v>
      </c>
      <c r="G70" s="30"/>
      <c r="H70" s="20"/>
      <c r="I70" s="11"/>
    </row>
    <row r="71" spans="1:9" x14ac:dyDescent="0.35">
      <c r="A71" s="31"/>
      <c r="B71" s="7" t="s">
        <v>143</v>
      </c>
      <c r="C71" s="31"/>
      <c r="D71" s="31"/>
      <c r="E71" s="29" t="s">
        <v>145</v>
      </c>
      <c r="F71" s="20" t="s">
        <v>145</v>
      </c>
      <c r="G71" s="32"/>
      <c r="H71" s="31"/>
      <c r="I71" s="11"/>
    </row>
    <row r="72" spans="1:9" x14ac:dyDescent="0.35">
      <c r="A72" s="31"/>
      <c r="B72" s="7" t="s">
        <v>152</v>
      </c>
      <c r="C72" s="31"/>
      <c r="D72" s="32"/>
      <c r="E72" s="12" t="s">
        <v>145</v>
      </c>
      <c r="F72" s="12" t="s">
        <v>145</v>
      </c>
      <c r="G72" s="33"/>
      <c r="H72" s="33"/>
      <c r="I72" s="11"/>
    </row>
    <row r="73" spans="1:9" x14ac:dyDescent="0.35">
      <c r="A73" s="17"/>
      <c r="B73" s="7" t="s">
        <v>143</v>
      </c>
      <c r="C73" s="17"/>
      <c r="D73" s="18"/>
      <c r="E73" s="29" t="s">
        <v>145</v>
      </c>
      <c r="F73" s="20" t="s">
        <v>145</v>
      </c>
      <c r="G73" s="34"/>
      <c r="H73" s="35"/>
      <c r="I73" s="11"/>
    </row>
    <row r="74" spans="1:9" x14ac:dyDescent="0.35">
      <c r="A74" s="17"/>
      <c r="B74" s="7" t="s">
        <v>153</v>
      </c>
      <c r="C74" s="17"/>
      <c r="D74" s="18"/>
      <c r="E74" s="12" t="s">
        <v>145</v>
      </c>
      <c r="F74" s="12" t="s">
        <v>145</v>
      </c>
      <c r="G74" s="34"/>
      <c r="H74" s="35"/>
      <c r="I74" s="11"/>
    </row>
    <row r="75" spans="1:9" x14ac:dyDescent="0.35">
      <c r="A75" s="17"/>
      <c r="B75" s="7" t="s">
        <v>143</v>
      </c>
      <c r="C75" s="17"/>
      <c r="D75" s="18"/>
      <c r="E75" s="29" t="s">
        <v>145</v>
      </c>
      <c r="F75" s="20" t="s">
        <v>145</v>
      </c>
      <c r="G75" s="30"/>
      <c r="H75" s="20"/>
      <c r="I75" s="11"/>
    </row>
    <row r="76" spans="1:9" x14ac:dyDescent="0.35">
      <c r="A76" s="17"/>
      <c r="B76" s="36" t="s">
        <v>148</v>
      </c>
      <c r="C76" s="17"/>
      <c r="D76" s="18"/>
      <c r="E76" s="29" t="s">
        <v>145</v>
      </c>
      <c r="F76" s="20" t="s">
        <v>145</v>
      </c>
      <c r="G76" s="30"/>
      <c r="H76" s="20"/>
      <c r="I76" s="11"/>
    </row>
    <row r="77" spans="1:9" x14ac:dyDescent="0.35">
      <c r="A77" s="17"/>
      <c r="B77" s="36"/>
      <c r="C77" s="17"/>
      <c r="D77" s="18"/>
      <c r="E77" s="29"/>
      <c r="F77" s="20"/>
      <c r="G77" s="30"/>
      <c r="H77" s="20"/>
      <c r="I77" s="11"/>
    </row>
    <row r="78" spans="1:9" x14ac:dyDescent="0.35">
      <c r="A78" s="17"/>
      <c r="B78" s="36" t="s">
        <v>154</v>
      </c>
      <c r="C78" s="17"/>
      <c r="D78" s="18"/>
      <c r="E78" s="29"/>
      <c r="F78" s="20"/>
      <c r="G78" s="30"/>
      <c r="H78" s="20"/>
      <c r="I78" s="11"/>
    </row>
    <row r="79" spans="1:9" x14ac:dyDescent="0.35">
      <c r="A79" s="17"/>
      <c r="B79" s="36" t="s">
        <v>148</v>
      </c>
      <c r="C79" s="17"/>
      <c r="D79" s="18"/>
      <c r="E79" s="29" t="s">
        <v>145</v>
      </c>
      <c r="F79" s="37" t="s">
        <v>145</v>
      </c>
      <c r="G79" s="30"/>
      <c r="H79" s="20"/>
      <c r="I79" s="11"/>
    </row>
    <row r="80" spans="1:9" x14ac:dyDescent="0.35">
      <c r="A80" s="31"/>
      <c r="B80" s="31"/>
      <c r="C80" s="31"/>
      <c r="D80" s="38"/>
      <c r="E80" s="38"/>
      <c r="F80" s="39"/>
      <c r="G80" s="33"/>
      <c r="H80" s="33"/>
      <c r="I80" s="11"/>
    </row>
    <row r="81" spans="1:9" x14ac:dyDescent="0.35">
      <c r="A81" s="17"/>
      <c r="B81" s="7" t="s">
        <v>155</v>
      </c>
      <c r="C81" s="17"/>
      <c r="D81" s="18"/>
      <c r="E81" s="40"/>
      <c r="F81" s="28"/>
      <c r="G81" s="30"/>
      <c r="H81" s="20"/>
      <c r="I81" s="11"/>
    </row>
    <row r="82" spans="1:9" x14ac:dyDescent="0.35">
      <c r="A82" s="6"/>
      <c r="B82" s="7" t="s">
        <v>156</v>
      </c>
      <c r="C82" s="6"/>
      <c r="D82" s="8"/>
      <c r="E82" s="19"/>
      <c r="F82" s="20"/>
      <c r="G82" s="10"/>
      <c r="H82" s="9"/>
      <c r="I82" s="11"/>
    </row>
    <row r="83" spans="1:9" x14ac:dyDescent="0.35">
      <c r="A83" s="6"/>
      <c r="B83" s="13" t="s">
        <v>157</v>
      </c>
      <c r="C83" s="6"/>
      <c r="D83" s="8"/>
      <c r="E83" s="41">
        <v>301.30189000000001</v>
      </c>
      <c r="F83" s="30">
        <v>7.1378959492946106E-2</v>
      </c>
      <c r="G83" s="10" t="s">
        <v>158</v>
      </c>
      <c r="H83" s="9"/>
      <c r="I83" s="11"/>
    </row>
    <row r="84" spans="1:9" x14ac:dyDescent="0.35">
      <c r="A84" s="6"/>
      <c r="B84" s="7" t="s">
        <v>143</v>
      </c>
      <c r="C84" s="6"/>
      <c r="D84" s="8"/>
      <c r="E84" s="19">
        <v>301.30189000000001</v>
      </c>
      <c r="F84" s="20">
        <v>7.1378959492946106E-2</v>
      </c>
      <c r="G84" s="10"/>
      <c r="H84" s="9"/>
      <c r="I84" s="11"/>
    </row>
    <row r="85" spans="1:9" x14ac:dyDescent="0.35">
      <c r="A85" s="6"/>
      <c r="B85" s="7" t="s">
        <v>159</v>
      </c>
      <c r="C85" s="6"/>
      <c r="D85" s="8"/>
      <c r="E85" s="19"/>
      <c r="F85" s="20"/>
      <c r="G85" s="10"/>
      <c r="H85" s="9"/>
      <c r="I85" s="11"/>
    </row>
    <row r="86" spans="1:9" x14ac:dyDescent="0.35">
      <c r="A86" s="6"/>
      <c r="B86" s="7" t="s">
        <v>143</v>
      </c>
      <c r="C86" s="6"/>
      <c r="D86" s="8"/>
      <c r="E86" s="19" t="s">
        <v>145</v>
      </c>
      <c r="F86" s="20" t="s">
        <v>145</v>
      </c>
      <c r="G86" s="10"/>
      <c r="H86" s="9"/>
      <c r="I86" s="11"/>
    </row>
    <row r="87" spans="1:9" x14ac:dyDescent="0.35">
      <c r="A87" s="17"/>
      <c r="B87" s="17" t="s">
        <v>148</v>
      </c>
      <c r="C87" s="17"/>
      <c r="D87" s="18"/>
      <c r="E87" s="19">
        <v>301.30189000000001</v>
      </c>
      <c r="F87" s="20">
        <v>7.1378959492946106E-2</v>
      </c>
      <c r="G87" s="30"/>
      <c r="H87" s="20"/>
      <c r="I87" s="11"/>
    </row>
    <row r="88" spans="1:9" x14ac:dyDescent="0.35">
      <c r="A88" s="17"/>
      <c r="B88" s="17"/>
      <c r="C88" s="17"/>
      <c r="D88" s="18"/>
      <c r="E88" s="19"/>
      <c r="F88" s="20"/>
      <c r="G88" s="30"/>
      <c r="H88" s="20"/>
      <c r="I88" s="11"/>
    </row>
    <row r="89" spans="1:9" x14ac:dyDescent="0.35">
      <c r="A89" s="17"/>
      <c r="B89" s="17" t="s">
        <v>160</v>
      </c>
      <c r="C89" s="17"/>
      <c r="D89" s="18"/>
      <c r="E89" s="19"/>
      <c r="F89" s="20"/>
      <c r="G89" s="30"/>
      <c r="H89" s="20"/>
      <c r="I89" s="11"/>
    </row>
    <row r="90" spans="1:9" x14ac:dyDescent="0.35">
      <c r="A90" s="17"/>
      <c r="B90" s="17" t="s">
        <v>148</v>
      </c>
      <c r="C90" s="17"/>
      <c r="D90" s="18"/>
      <c r="E90" s="19" t="s">
        <v>145</v>
      </c>
      <c r="F90" s="20" t="s">
        <v>145</v>
      </c>
      <c r="G90" s="30"/>
      <c r="H90" s="20"/>
      <c r="I90" s="11"/>
    </row>
    <row r="91" spans="1:9" x14ac:dyDescent="0.35">
      <c r="A91" s="17"/>
      <c r="B91" s="17"/>
      <c r="C91" s="17"/>
      <c r="D91" s="18"/>
      <c r="E91" s="19"/>
      <c r="F91" s="20"/>
      <c r="G91" s="30"/>
      <c r="H91" s="20"/>
      <c r="I91" s="11"/>
    </row>
    <row r="92" spans="1:9" x14ac:dyDescent="0.35">
      <c r="A92" s="17"/>
      <c r="B92" s="17"/>
      <c r="C92" s="17"/>
      <c r="D92" s="18"/>
      <c r="E92" s="18"/>
      <c r="F92" s="28"/>
      <c r="G92" s="30"/>
      <c r="H92" s="20"/>
      <c r="I92" s="11"/>
    </row>
    <row r="93" spans="1:9" x14ac:dyDescent="0.35">
      <c r="A93" s="17"/>
      <c r="B93" s="42" t="s">
        <v>161</v>
      </c>
      <c r="C93" s="17"/>
      <c r="D93" s="18"/>
      <c r="E93" s="18"/>
      <c r="F93" s="28"/>
      <c r="G93" s="30"/>
      <c r="H93" s="20"/>
      <c r="I93" s="11"/>
    </row>
    <row r="94" spans="1:9" x14ac:dyDescent="0.35">
      <c r="A94" s="6"/>
      <c r="B94" s="42" t="s">
        <v>162</v>
      </c>
      <c r="C94" s="6"/>
      <c r="D94" s="8"/>
      <c r="E94" s="8">
        <v>236.793355399999</v>
      </c>
      <c r="F94" s="30">
        <v>5.6096771657474197E-2</v>
      </c>
      <c r="G94" s="30"/>
      <c r="H94" s="30"/>
      <c r="I94" s="11"/>
    </row>
    <row r="95" spans="1:9" x14ac:dyDescent="0.35">
      <c r="A95" s="17"/>
      <c r="B95" s="42" t="s">
        <v>148</v>
      </c>
      <c r="C95" s="17"/>
      <c r="D95" s="18"/>
      <c r="E95" s="18">
        <f>E94</f>
        <v>236.793355399999</v>
      </c>
      <c r="F95" s="43">
        <f>F94</f>
        <v>5.6096771657474197E-2</v>
      </c>
      <c r="G95" s="44"/>
      <c r="H95" s="45"/>
      <c r="I95" s="11"/>
    </row>
    <row r="96" spans="1:9" x14ac:dyDescent="0.35">
      <c r="A96" s="46"/>
      <c r="B96" s="42" t="s">
        <v>163</v>
      </c>
      <c r="C96" s="46"/>
      <c r="D96" s="46"/>
      <c r="E96" s="18">
        <v>4221.1583376999997</v>
      </c>
      <c r="F96" s="20">
        <v>1</v>
      </c>
      <c r="G96" s="47"/>
      <c r="H96" s="46"/>
      <c r="I96" s="11"/>
    </row>
    <row r="97" spans="1:9" x14ac:dyDescent="0.35">
      <c r="A97" s="48"/>
      <c r="B97" s="49"/>
      <c r="C97" s="48"/>
      <c r="D97" s="48"/>
      <c r="E97" s="48"/>
      <c r="F97" s="48"/>
      <c r="G97" s="48"/>
      <c r="H97" s="48"/>
      <c r="I97" s="48"/>
    </row>
    <row r="98" spans="1:9" x14ac:dyDescent="0.35">
      <c r="A98" s="48"/>
      <c r="B98" s="48"/>
      <c r="C98" s="48"/>
      <c r="D98" s="48"/>
      <c r="E98" s="48"/>
      <c r="F98" s="48"/>
      <c r="G98" s="48"/>
      <c r="H98" s="48"/>
      <c r="I98" s="48"/>
    </row>
    <row r="99" spans="1:9" s="55" customFormat="1" x14ac:dyDescent="0.35">
      <c r="A99" s="50" t="s">
        <v>164</v>
      </c>
      <c r="B99" s="51"/>
      <c r="C99" s="51"/>
      <c r="D99" s="51"/>
      <c r="E99" s="52"/>
      <c r="F99" s="52"/>
      <c r="G99" s="53"/>
      <c r="H99" s="51"/>
      <c r="I99" s="54"/>
    </row>
    <row r="100" spans="1:9" s="55" customFormat="1" ht="12.9" customHeight="1" x14ac:dyDescent="0.35">
      <c r="A100" s="56"/>
      <c r="B100" s="56" t="s">
        <v>165</v>
      </c>
      <c r="C100" s="57"/>
      <c r="D100" s="57"/>
      <c r="E100" s="58"/>
      <c r="F100" s="59"/>
      <c r="G100" s="58"/>
      <c r="H100" s="58"/>
      <c r="I100" s="51"/>
    </row>
    <row r="101" spans="1:9" s="55" customFormat="1" x14ac:dyDescent="0.35">
      <c r="A101" s="48"/>
      <c r="B101" s="56" t="s">
        <v>166</v>
      </c>
      <c r="C101" s="51"/>
      <c r="D101" s="60" t="s">
        <v>167</v>
      </c>
      <c r="E101" s="60" t="s">
        <v>168</v>
      </c>
      <c r="F101" s="52"/>
      <c r="G101" s="53"/>
      <c r="H101" s="51"/>
      <c r="I101" s="54"/>
    </row>
    <row r="102" spans="1:9" s="55" customFormat="1" x14ac:dyDescent="0.35">
      <c r="A102" s="61">
        <v>153892</v>
      </c>
      <c r="B102" s="51" t="s">
        <v>169</v>
      </c>
      <c r="C102" s="62" t="s">
        <v>170</v>
      </c>
      <c r="D102" s="62">
        <v>10.046799999999999</v>
      </c>
      <c r="E102" s="62">
        <v>10.629099999999999</v>
      </c>
      <c r="F102" s="52"/>
      <c r="G102" s="53"/>
      <c r="H102" s="51"/>
      <c r="I102" s="54"/>
    </row>
    <row r="103" spans="1:9" s="55" customFormat="1" x14ac:dyDescent="0.35">
      <c r="A103" s="61">
        <v>153891</v>
      </c>
      <c r="B103" s="51" t="s">
        <v>171</v>
      </c>
      <c r="C103" s="62" t="s">
        <v>170</v>
      </c>
      <c r="D103" s="62">
        <v>10.1303</v>
      </c>
      <c r="E103" s="62">
        <v>10.6814</v>
      </c>
      <c r="F103" s="52"/>
      <c r="G103" s="53"/>
      <c r="H103" s="51"/>
      <c r="I103" s="54"/>
    </row>
    <row r="104" spans="1:9" s="55" customFormat="1" x14ac:dyDescent="0.35">
      <c r="A104" s="61">
        <v>153894</v>
      </c>
      <c r="B104" s="51" t="s">
        <v>172</v>
      </c>
      <c r="C104" s="62" t="s">
        <v>170</v>
      </c>
      <c r="D104" s="62">
        <v>10.0474</v>
      </c>
      <c r="E104" s="62">
        <v>10.6297</v>
      </c>
      <c r="F104" s="52"/>
      <c r="G104" s="53"/>
      <c r="H104" s="51"/>
      <c r="I104" s="54"/>
    </row>
    <row r="105" spans="1:9" s="55" customFormat="1" x14ac:dyDescent="0.35">
      <c r="A105" s="61"/>
      <c r="B105" s="51"/>
      <c r="C105" s="62"/>
      <c r="D105" s="62"/>
      <c r="E105" s="63"/>
      <c r="F105" s="52"/>
      <c r="G105" s="53"/>
      <c r="H105" s="51"/>
      <c r="I105" s="54"/>
    </row>
    <row r="106" spans="1:9" s="55" customFormat="1" x14ac:dyDescent="0.35">
      <c r="A106" s="51"/>
      <c r="B106" s="64" t="s">
        <v>173</v>
      </c>
      <c r="C106" s="51"/>
      <c r="D106" s="51"/>
      <c r="E106" s="52"/>
      <c r="F106" s="52"/>
      <c r="G106" s="53"/>
      <c r="H106" s="51"/>
      <c r="I106" s="54"/>
    </row>
    <row r="107" spans="1:9" s="55" customFormat="1" x14ac:dyDescent="0.35">
      <c r="A107" s="51"/>
      <c r="B107" s="64"/>
      <c r="C107" s="51"/>
      <c r="D107" s="51"/>
      <c r="E107" s="52"/>
      <c r="F107" s="52"/>
      <c r="G107" s="53"/>
      <c r="H107" s="51"/>
      <c r="I107" s="54"/>
    </row>
    <row r="108" spans="1:9" s="55" customFormat="1" x14ac:dyDescent="0.35">
      <c r="A108" s="51"/>
      <c r="B108" s="51" t="s">
        <v>174</v>
      </c>
      <c r="C108" s="51"/>
      <c r="D108" s="51"/>
      <c r="E108" s="52"/>
      <c r="F108" s="52"/>
      <c r="G108" s="53"/>
      <c r="H108" s="51"/>
      <c r="I108" s="54"/>
    </row>
    <row r="109" spans="1:9" s="55" customFormat="1" x14ac:dyDescent="0.35">
      <c r="A109" s="51"/>
      <c r="B109" s="51"/>
      <c r="C109" s="51"/>
      <c r="D109" s="51"/>
      <c r="E109" s="52"/>
      <c r="F109" s="52"/>
      <c r="G109" s="53"/>
      <c r="H109" s="51"/>
      <c r="I109" s="54"/>
    </row>
    <row r="110" spans="1:9" s="55" customFormat="1" x14ac:dyDescent="0.35">
      <c r="A110" s="51"/>
      <c r="B110" s="51" t="s">
        <v>175</v>
      </c>
      <c r="C110" s="51"/>
      <c r="D110" s="51"/>
      <c r="E110" s="51"/>
      <c r="F110" s="52"/>
      <c r="G110" s="52"/>
      <c r="H110" s="53"/>
      <c r="I110" s="51"/>
    </row>
    <row r="111" spans="1:9" s="55" customFormat="1" x14ac:dyDescent="0.35">
      <c r="A111" s="51"/>
      <c r="B111" s="51"/>
      <c r="C111" s="65"/>
      <c r="D111" s="66"/>
      <c r="E111" s="51"/>
      <c r="F111" s="52"/>
      <c r="G111" s="52"/>
      <c r="H111" s="53"/>
      <c r="I111" s="51"/>
    </row>
    <row r="112" spans="1:9" s="55" customFormat="1" x14ac:dyDescent="0.35">
      <c r="A112" s="51"/>
      <c r="B112" s="65" t="s">
        <v>176</v>
      </c>
      <c r="C112" s="65"/>
      <c r="D112" s="67"/>
      <c r="E112" s="51"/>
      <c r="F112" s="52"/>
      <c r="G112" s="52"/>
      <c r="H112" s="53"/>
      <c r="I112" s="51"/>
    </row>
    <row r="113" spans="1:9" s="55" customFormat="1" x14ac:dyDescent="0.35">
      <c r="A113" s="51"/>
      <c r="B113" s="51"/>
      <c r="C113" s="65"/>
      <c r="D113" s="67"/>
      <c r="E113" s="51"/>
      <c r="F113" s="52"/>
      <c r="G113" s="52"/>
      <c r="H113" s="53"/>
      <c r="I113" s="51"/>
    </row>
    <row r="114" spans="1:9" s="55" customFormat="1" x14ac:dyDescent="0.35">
      <c r="A114" s="51"/>
      <c r="B114" s="51" t="s">
        <v>177</v>
      </c>
      <c r="C114" s="65"/>
      <c r="D114" s="67"/>
      <c r="E114" s="51"/>
      <c r="F114" s="52"/>
      <c r="G114" s="52"/>
      <c r="H114" s="53"/>
      <c r="I114" s="51"/>
    </row>
    <row r="115" spans="1:9" s="55" customFormat="1" x14ac:dyDescent="0.35">
      <c r="A115" s="51"/>
      <c r="B115" s="51"/>
      <c r="C115" s="65"/>
      <c r="D115" s="67"/>
      <c r="E115" s="51"/>
      <c r="F115" s="52"/>
      <c r="G115" s="52"/>
      <c r="H115" s="53"/>
      <c r="I115" s="51"/>
    </row>
    <row r="116" spans="1:9" s="55" customFormat="1" x14ac:dyDescent="0.35">
      <c r="A116" s="51"/>
      <c r="B116" s="51" t="s">
        <v>178</v>
      </c>
      <c r="C116" s="56"/>
      <c r="D116" s="56"/>
      <c r="E116" s="51"/>
      <c r="F116" s="52"/>
      <c r="G116" s="52"/>
      <c r="H116" s="53"/>
      <c r="I116" s="51"/>
    </row>
    <row r="117" spans="1:9" s="55" customFormat="1" x14ac:dyDescent="0.35">
      <c r="A117" s="51"/>
      <c r="B117" s="51"/>
      <c r="C117" s="56"/>
      <c r="D117" s="56"/>
      <c r="E117" s="51"/>
      <c r="F117" s="52"/>
      <c r="G117" s="52"/>
      <c r="H117" s="53"/>
      <c r="I117" s="51"/>
    </row>
    <row r="118" spans="1:9" s="55" customFormat="1" x14ac:dyDescent="0.35">
      <c r="A118" s="51"/>
      <c r="B118" s="51" t="s">
        <v>179</v>
      </c>
      <c r="C118" s="56"/>
      <c r="D118" s="56"/>
      <c r="E118" s="51"/>
      <c r="F118" s="52"/>
      <c r="G118" s="52"/>
      <c r="H118" s="53"/>
      <c r="I118" s="51"/>
    </row>
    <row r="119" spans="1:9" s="55" customFormat="1" x14ac:dyDescent="0.35">
      <c r="A119" s="51"/>
      <c r="B119" s="51"/>
      <c r="C119" s="56"/>
      <c r="D119" s="56"/>
      <c r="E119" s="51"/>
      <c r="F119" s="52"/>
      <c r="G119" s="52"/>
      <c r="H119" s="53"/>
      <c r="I119" s="51"/>
    </row>
    <row r="120" spans="1:9" s="55" customFormat="1" x14ac:dyDescent="0.35">
      <c r="A120" s="51"/>
      <c r="B120" s="51" t="s">
        <v>180</v>
      </c>
      <c r="C120" s="56"/>
      <c r="D120" s="56"/>
      <c r="E120" s="51"/>
      <c r="F120" s="52"/>
      <c r="G120" s="52"/>
      <c r="H120" s="53"/>
      <c r="I120" s="51"/>
    </row>
    <row r="121" spans="1:9" s="55" customFormat="1" x14ac:dyDescent="0.35">
      <c r="A121" s="51"/>
      <c r="B121" s="51"/>
      <c r="C121" s="56"/>
      <c r="D121" s="56"/>
      <c r="E121" s="51"/>
      <c r="F121" s="52"/>
      <c r="G121" s="52"/>
      <c r="H121" s="53"/>
      <c r="I121" s="51"/>
    </row>
    <row r="122" spans="1:9" s="55" customFormat="1" x14ac:dyDescent="0.35">
      <c r="A122" s="51"/>
      <c r="B122" s="51" t="s">
        <v>181</v>
      </c>
      <c r="C122" s="65"/>
      <c r="D122" s="68"/>
      <c r="E122" s="51"/>
      <c r="F122" s="52"/>
      <c r="G122" s="52"/>
      <c r="H122" s="53"/>
      <c r="I122" s="51"/>
    </row>
    <row r="123" spans="1:9" s="55" customFormat="1" x14ac:dyDescent="0.35">
      <c r="A123" s="51"/>
      <c r="B123" s="51"/>
      <c r="C123" s="65"/>
      <c r="D123" s="67"/>
      <c r="E123" s="51"/>
      <c r="F123" s="52"/>
      <c r="G123" s="52"/>
      <c r="H123" s="53"/>
      <c r="I123" s="51"/>
    </row>
    <row r="124" spans="1:9" s="55" customFormat="1" x14ac:dyDescent="0.35">
      <c r="A124" s="51"/>
      <c r="B124" s="51" t="s">
        <v>182</v>
      </c>
      <c r="C124" s="65"/>
      <c r="D124" s="67"/>
      <c r="E124" s="51"/>
      <c r="F124" s="52"/>
      <c r="G124" s="52"/>
      <c r="H124" s="53"/>
      <c r="I124" s="51"/>
    </row>
    <row r="125" spans="1:9" s="55" customFormat="1" x14ac:dyDescent="0.35">
      <c r="A125" s="51"/>
      <c r="B125" s="51"/>
      <c r="C125" s="65"/>
      <c r="D125" s="67"/>
      <c r="E125" s="51"/>
      <c r="F125" s="52"/>
      <c r="G125" s="52"/>
      <c r="H125" s="53"/>
      <c r="I125" s="51"/>
    </row>
    <row r="126" spans="1:9" s="55" customFormat="1" x14ac:dyDescent="0.35">
      <c r="A126" s="51"/>
      <c r="B126" s="51" t="s">
        <v>183</v>
      </c>
      <c r="C126" s="65"/>
      <c r="D126" s="67"/>
      <c r="E126" s="51"/>
      <c r="F126" s="52"/>
      <c r="G126" s="52"/>
      <c r="H126" s="53"/>
      <c r="I126" s="51"/>
    </row>
    <row r="127" spans="1:9" s="55" customFormat="1" x14ac:dyDescent="0.35">
      <c r="A127" s="69"/>
      <c r="B127" s="64"/>
      <c r="C127" s="70"/>
      <c r="D127" s="71"/>
      <c r="E127" s="52"/>
      <c r="F127" s="52"/>
      <c r="G127" s="53"/>
      <c r="H127" s="51"/>
      <c r="I127" s="54"/>
    </row>
    <row r="128" spans="1:9" s="72" customFormat="1" x14ac:dyDescent="0.35">
      <c r="A128" s="48"/>
      <c r="B128" s="57" t="s">
        <v>184</v>
      </c>
      <c r="C128" s="48"/>
      <c r="D128" s="48"/>
      <c r="E128" s="48"/>
      <c r="F128" s="48"/>
      <c r="G128" s="48"/>
      <c r="H128" s="48"/>
      <c r="I128" s="48"/>
    </row>
    <row r="129" spans="1:9" s="72" customFormat="1" ht="33" customHeight="1" x14ac:dyDescent="0.35">
      <c r="A129" s="48"/>
      <c r="B129" s="113" t="s">
        <v>185</v>
      </c>
      <c r="C129" s="108"/>
      <c r="D129" s="108"/>
      <c r="E129" s="108"/>
      <c r="F129" s="108"/>
      <c r="G129" s="108"/>
      <c r="H129" s="48"/>
      <c r="I129" s="48"/>
    </row>
    <row r="130" spans="1:9" s="72" customFormat="1" x14ac:dyDescent="0.35">
      <c r="A130" s="48"/>
      <c r="B130" s="73" t="s">
        <v>186</v>
      </c>
      <c r="C130" s="48"/>
      <c r="D130" s="48"/>
      <c r="E130" s="48"/>
      <c r="F130" s="48"/>
      <c r="G130" s="48"/>
      <c r="H130" s="48"/>
      <c r="I130" s="48"/>
    </row>
    <row r="131" spans="1:9" s="72" customFormat="1" ht="79" customHeight="1" x14ac:dyDescent="0.35">
      <c r="A131" s="48"/>
      <c r="B131" s="114" t="s">
        <v>187</v>
      </c>
      <c r="C131" s="108"/>
      <c r="D131" s="108"/>
      <c r="E131" s="108"/>
      <c r="F131" s="108"/>
      <c r="G131" s="108"/>
      <c r="H131" s="48"/>
      <c r="I131" s="48"/>
    </row>
    <row r="132" spans="1:9" s="72" customFormat="1" x14ac:dyDescent="0.35">
      <c r="A132" s="48"/>
      <c r="B132" s="48"/>
      <c r="C132" s="48"/>
      <c r="D132" s="48"/>
      <c r="E132" s="48"/>
      <c r="F132" s="48"/>
      <c r="G132" s="48"/>
      <c r="H132" s="48"/>
      <c r="I132" s="48"/>
    </row>
    <row r="133" spans="1:9" s="72" customFormat="1" x14ac:dyDescent="0.35">
      <c r="A133" s="48"/>
      <c r="B133" s="74" t="s">
        <v>188</v>
      </c>
      <c r="C133" s="48"/>
      <c r="D133" s="48"/>
      <c r="E133" s="48"/>
      <c r="F133" s="48"/>
      <c r="G133" s="48"/>
      <c r="H133" s="48"/>
      <c r="I133" s="48"/>
    </row>
    <row r="134" spans="1:9" s="72" customFormat="1" x14ac:dyDescent="0.35">
      <c r="A134" s="48"/>
      <c r="B134" s="48"/>
      <c r="C134" s="48"/>
      <c r="D134" s="48"/>
      <c r="E134" s="48"/>
      <c r="F134" s="48"/>
      <c r="G134" s="48"/>
      <c r="H134" s="48"/>
      <c r="I134" s="48"/>
    </row>
    <row r="135" spans="1:9" s="72" customFormat="1" ht="43.5" x14ac:dyDescent="0.35">
      <c r="A135" s="48"/>
      <c r="B135" s="75" t="s">
        <v>189</v>
      </c>
      <c r="C135" s="76" t="s">
        <v>190</v>
      </c>
      <c r="D135" s="76" t="s">
        <v>191</v>
      </c>
      <c r="E135" s="77" t="s">
        <v>192</v>
      </c>
      <c r="F135" s="78" t="s">
        <v>193</v>
      </c>
      <c r="G135" s="79"/>
      <c r="H135" s="48"/>
      <c r="I135" s="48"/>
    </row>
    <row r="136" spans="1:9" s="72" customFormat="1" ht="24.65" customHeight="1" x14ac:dyDescent="0.35">
      <c r="A136" s="48"/>
      <c r="B136" s="80" t="s">
        <v>194</v>
      </c>
      <c r="C136" s="80" t="s">
        <v>195</v>
      </c>
      <c r="D136" s="81">
        <v>860.07500000000005</v>
      </c>
      <c r="E136" s="82">
        <v>851.65</v>
      </c>
      <c r="F136" s="83">
        <v>7.72</v>
      </c>
      <c r="G136" s="79"/>
      <c r="H136" s="48"/>
      <c r="I136" s="48"/>
    </row>
    <row r="137" spans="1:9" s="72" customFormat="1" ht="24.65" customHeight="1" x14ac:dyDescent="0.35">
      <c r="A137" s="48"/>
      <c r="B137" s="80" t="s">
        <v>196</v>
      </c>
      <c r="C137" s="80" t="s">
        <v>195</v>
      </c>
      <c r="D137" s="81">
        <v>960.94</v>
      </c>
      <c r="E137" s="82">
        <v>967.2</v>
      </c>
      <c r="F137" s="83">
        <v>12.88</v>
      </c>
      <c r="G137" s="48"/>
      <c r="H137" s="48"/>
      <c r="I137" s="48"/>
    </row>
    <row r="138" spans="1:9" s="72" customFormat="1" x14ac:dyDescent="0.35">
      <c r="A138" s="48"/>
      <c r="B138" s="48"/>
      <c r="C138" s="48"/>
      <c r="D138" s="48"/>
      <c r="E138" s="48"/>
      <c r="F138" s="48"/>
      <c r="G138" s="48"/>
      <c r="H138" s="48"/>
      <c r="I138" s="48"/>
    </row>
    <row r="139" spans="1:9" s="72" customFormat="1" x14ac:dyDescent="0.35">
      <c r="A139" s="48"/>
      <c r="B139" s="48"/>
      <c r="C139" s="48"/>
      <c r="D139" s="48"/>
      <c r="E139" s="48"/>
      <c r="F139" s="48"/>
      <c r="G139" s="48"/>
      <c r="H139" s="48"/>
      <c r="I139" s="48"/>
    </row>
    <row r="140" spans="1:9" s="72" customFormat="1" x14ac:dyDescent="0.35">
      <c r="A140" s="48"/>
      <c r="B140" s="74" t="s">
        <v>197</v>
      </c>
      <c r="C140" s="48"/>
      <c r="D140" s="48"/>
      <c r="E140" s="48"/>
      <c r="F140" s="48"/>
      <c r="G140" s="48"/>
      <c r="H140" s="48"/>
      <c r="I140" s="48"/>
    </row>
    <row r="141" spans="1:9" s="72" customFormat="1" x14ac:dyDescent="0.35">
      <c r="A141" s="48"/>
      <c r="B141" s="48"/>
      <c r="C141" s="48"/>
      <c r="D141" s="48"/>
      <c r="E141" s="48"/>
      <c r="F141" s="48"/>
      <c r="G141" s="48"/>
      <c r="H141" s="48"/>
      <c r="I141" s="48"/>
    </row>
    <row r="142" spans="1:9" s="72" customFormat="1" ht="29" x14ac:dyDescent="0.35">
      <c r="A142" s="48"/>
      <c r="B142" s="75" t="s">
        <v>3</v>
      </c>
      <c r="C142" s="76" t="s">
        <v>190</v>
      </c>
      <c r="D142" s="76" t="s">
        <v>5</v>
      </c>
      <c r="E142" s="77" t="s">
        <v>6</v>
      </c>
      <c r="F142" s="84" t="s">
        <v>7</v>
      </c>
      <c r="G142" s="48"/>
      <c r="H142" s="48"/>
      <c r="I142" s="48"/>
    </row>
    <row r="143" spans="1:9" s="72" customFormat="1" x14ac:dyDescent="0.35">
      <c r="A143" s="48"/>
      <c r="B143" s="80" t="s">
        <v>194</v>
      </c>
      <c r="C143" s="80" t="s">
        <v>195</v>
      </c>
      <c r="D143" s="85">
        <v>5000</v>
      </c>
      <c r="E143" s="82">
        <v>42.582500000000003</v>
      </c>
      <c r="F143" s="83">
        <v>1.0087870000000001</v>
      </c>
      <c r="G143" s="48"/>
      <c r="H143" s="48"/>
      <c r="I143" s="48"/>
    </row>
    <row r="144" spans="1:9" s="72" customFormat="1" x14ac:dyDescent="0.35">
      <c r="A144" s="48"/>
      <c r="B144" s="80" t="s">
        <v>196</v>
      </c>
      <c r="C144" s="80" t="s">
        <v>195</v>
      </c>
      <c r="D144" s="85">
        <v>7500</v>
      </c>
      <c r="E144" s="82">
        <v>72.540000000000006</v>
      </c>
      <c r="F144" s="83">
        <v>1.718486</v>
      </c>
      <c r="G144" s="48"/>
      <c r="H144" s="48"/>
      <c r="I144" s="48"/>
    </row>
    <row r="145" spans="1:9" s="72" customFormat="1" x14ac:dyDescent="0.35">
      <c r="A145" s="48"/>
      <c r="B145" s="48"/>
      <c r="C145" s="48"/>
      <c r="D145" s="48"/>
      <c r="E145" s="48"/>
      <c r="F145" s="48"/>
      <c r="G145" s="48"/>
      <c r="H145" s="48"/>
      <c r="I145" s="48"/>
    </row>
    <row r="146" spans="1:9" s="72" customFormat="1" x14ac:dyDescent="0.35">
      <c r="A146" s="48"/>
      <c r="B146" s="107" t="s">
        <v>198</v>
      </c>
      <c r="C146" s="107"/>
      <c r="D146" s="86"/>
      <c r="E146" s="87"/>
      <c r="F146" s="48"/>
      <c r="G146" s="48"/>
      <c r="H146" s="48"/>
      <c r="I146" s="48"/>
    </row>
    <row r="147" spans="1:9" s="72" customFormat="1" x14ac:dyDescent="0.35">
      <c r="A147" s="48"/>
      <c r="B147" s="88" t="s">
        <v>199</v>
      </c>
      <c r="C147" s="88"/>
      <c r="D147" s="88"/>
      <c r="E147" s="88"/>
      <c r="F147" s="48"/>
      <c r="G147" s="48"/>
      <c r="H147" s="48"/>
      <c r="I147" s="48"/>
    </row>
    <row r="148" spans="1:9" s="72" customFormat="1" x14ac:dyDescent="0.35">
      <c r="A148" s="48"/>
      <c r="B148" s="89" t="s">
        <v>200</v>
      </c>
      <c r="C148" s="90"/>
      <c r="D148" s="91"/>
      <c r="E148" s="92">
        <v>0</v>
      </c>
      <c r="F148" s="48"/>
      <c r="G148" s="48"/>
      <c r="H148" s="48"/>
      <c r="I148" s="48"/>
    </row>
    <row r="149" spans="1:9" s="72" customFormat="1" x14ac:dyDescent="0.35">
      <c r="A149" s="48"/>
      <c r="B149" s="89" t="s">
        <v>201</v>
      </c>
      <c r="C149" s="90"/>
      <c r="D149" s="91"/>
      <c r="E149" s="92">
        <v>0</v>
      </c>
      <c r="F149" s="48"/>
      <c r="G149" s="48"/>
      <c r="H149" s="48"/>
      <c r="I149" s="48"/>
    </row>
    <row r="150" spans="1:9" s="72" customFormat="1" x14ac:dyDescent="0.35">
      <c r="A150" s="48"/>
      <c r="B150" s="89" t="s">
        <v>202</v>
      </c>
      <c r="C150" s="90"/>
      <c r="D150" s="91"/>
      <c r="E150" s="93">
        <v>0</v>
      </c>
      <c r="F150" s="48"/>
      <c r="G150" s="48"/>
      <c r="H150" s="48"/>
      <c r="I150" s="48"/>
    </row>
    <row r="151" spans="1:9" s="72" customFormat="1" x14ac:dyDescent="0.35">
      <c r="A151" s="48"/>
      <c r="B151" s="89" t="s">
        <v>203</v>
      </c>
      <c r="C151" s="90"/>
      <c r="D151" s="91"/>
      <c r="E151" s="93">
        <v>0</v>
      </c>
      <c r="F151" s="48"/>
      <c r="G151" s="48"/>
      <c r="H151" s="48"/>
      <c r="I151" s="48"/>
    </row>
    <row r="152" spans="1:9" s="72" customFormat="1" x14ac:dyDescent="0.35">
      <c r="A152" s="48"/>
      <c r="B152" s="89" t="s">
        <v>204</v>
      </c>
      <c r="C152" s="90"/>
      <c r="D152" s="91"/>
      <c r="E152" s="94">
        <v>0</v>
      </c>
      <c r="F152" s="48"/>
      <c r="G152" s="48"/>
      <c r="H152" s="48"/>
      <c r="I152" s="48"/>
    </row>
    <row r="153" spans="1:9" s="72" customFormat="1" x14ac:dyDescent="0.35">
      <c r="A153" s="48"/>
      <c r="B153" s="95"/>
      <c r="C153" s="96"/>
      <c r="D153" s="97"/>
      <c r="E153" s="97"/>
      <c r="F153" s="48"/>
      <c r="G153" s="48"/>
      <c r="H153" s="48"/>
      <c r="I153" s="48"/>
    </row>
    <row r="154" spans="1:9" s="72" customFormat="1" x14ac:dyDescent="0.35">
      <c r="A154" s="48"/>
      <c r="B154" s="95"/>
      <c r="C154" s="96"/>
      <c r="D154" s="97"/>
      <c r="E154" s="97"/>
      <c r="F154" s="48"/>
      <c r="G154" s="48"/>
      <c r="H154" s="48"/>
      <c r="I154" s="48"/>
    </row>
    <row r="155" spans="1:9" s="72" customFormat="1" ht="31" customHeight="1" x14ac:dyDescent="0.35">
      <c r="A155" s="48"/>
      <c r="B155" s="98" t="s">
        <v>205</v>
      </c>
      <c r="C155" s="99"/>
      <c r="D155" s="50"/>
      <c r="E155" s="97"/>
      <c r="F155" s="48"/>
      <c r="G155" s="48"/>
      <c r="H155" s="48"/>
      <c r="I155" s="48"/>
    </row>
    <row r="156" spans="1:9" s="72" customFormat="1" x14ac:dyDescent="0.35">
      <c r="A156" s="48"/>
      <c r="B156" s="100" t="s">
        <v>206</v>
      </c>
      <c r="C156" s="101"/>
      <c r="D156" s="102"/>
      <c r="E156" s="103"/>
      <c r="F156" s="48"/>
      <c r="G156" s="48"/>
      <c r="H156" s="48"/>
      <c r="I156" s="48"/>
    </row>
    <row r="157" spans="1:9" s="72" customFormat="1" x14ac:dyDescent="0.35">
      <c r="A157" s="48"/>
      <c r="B157" s="89" t="s">
        <v>200</v>
      </c>
      <c r="C157" s="90"/>
      <c r="D157" s="91"/>
      <c r="E157" s="92">
        <v>25</v>
      </c>
      <c r="F157" s="48"/>
      <c r="G157" s="48"/>
      <c r="H157" s="48"/>
      <c r="I157" s="48"/>
    </row>
    <row r="158" spans="1:9" s="72" customFormat="1" x14ac:dyDescent="0.35">
      <c r="A158" s="48"/>
      <c r="B158" s="89" t="s">
        <v>201</v>
      </c>
      <c r="C158" s="90"/>
      <c r="D158" s="91"/>
      <c r="E158" s="92">
        <v>25</v>
      </c>
      <c r="F158" s="48"/>
      <c r="G158" s="48"/>
      <c r="H158" s="48"/>
      <c r="I158" s="48"/>
    </row>
    <row r="159" spans="1:9" s="72" customFormat="1" x14ac:dyDescent="0.35">
      <c r="A159" s="48"/>
      <c r="B159" s="89" t="s">
        <v>202</v>
      </c>
      <c r="C159" s="90"/>
      <c r="D159" s="91"/>
      <c r="E159" s="104">
        <v>164.57425000000001</v>
      </c>
      <c r="F159" s="48"/>
      <c r="G159" s="48"/>
      <c r="H159" s="48"/>
      <c r="I159" s="48"/>
    </row>
    <row r="160" spans="1:9" s="72" customFormat="1" x14ac:dyDescent="0.35">
      <c r="A160" s="48"/>
      <c r="B160" s="89" t="s">
        <v>203</v>
      </c>
      <c r="C160" s="90"/>
      <c r="D160" s="91"/>
      <c r="E160" s="104">
        <v>164.02099999999999</v>
      </c>
      <c r="F160" s="48"/>
      <c r="G160" s="48"/>
      <c r="H160" s="48"/>
      <c r="I160" s="48"/>
    </row>
    <row r="161" spans="1:9" s="72" customFormat="1" x14ac:dyDescent="0.35">
      <c r="A161" s="48"/>
      <c r="B161" s="89" t="s">
        <v>204</v>
      </c>
      <c r="C161" s="90"/>
      <c r="D161" s="91"/>
      <c r="E161" s="94">
        <v>-11.752750000000001</v>
      </c>
      <c r="F161" s="48"/>
      <c r="G161" s="48"/>
      <c r="H161" s="48"/>
      <c r="I161" s="48"/>
    </row>
    <row r="162" spans="1:9" s="72" customFormat="1" x14ac:dyDescent="0.35">
      <c r="A162" s="48"/>
      <c r="B162" s="48"/>
      <c r="C162" s="48"/>
      <c r="D162" s="48"/>
      <c r="E162" s="48"/>
      <c r="F162" s="48"/>
      <c r="G162" s="48"/>
      <c r="H162" s="48"/>
      <c r="I162" s="48"/>
    </row>
    <row r="163" spans="1:9" s="72" customFormat="1" x14ac:dyDescent="0.35">
      <c r="A163" s="48"/>
      <c r="B163" s="74" t="s">
        <v>207</v>
      </c>
      <c r="C163" s="48"/>
      <c r="D163" s="48"/>
      <c r="E163" s="48"/>
      <c r="F163" s="48"/>
      <c r="G163" s="48"/>
      <c r="H163" s="48"/>
      <c r="I163" s="48"/>
    </row>
    <row r="164" spans="1:9" x14ac:dyDescent="0.35">
      <c r="A164" s="48"/>
      <c r="B164" s="48"/>
      <c r="C164" s="48"/>
      <c r="D164" s="48"/>
      <c r="E164" s="48"/>
      <c r="F164" s="48"/>
      <c r="G164" s="48"/>
      <c r="H164" s="48"/>
      <c r="I164" s="48"/>
    </row>
    <row r="165" spans="1:9" ht="29" x14ac:dyDescent="0.35">
      <c r="A165" s="48"/>
      <c r="B165" s="75" t="s">
        <v>189</v>
      </c>
      <c r="C165" s="76" t="s">
        <v>190</v>
      </c>
      <c r="D165" s="76" t="s">
        <v>208</v>
      </c>
      <c r="E165" s="77" t="s">
        <v>192</v>
      </c>
      <c r="F165" s="48"/>
      <c r="G165" s="48"/>
      <c r="H165" s="48"/>
      <c r="I165" s="48"/>
    </row>
    <row r="166" spans="1:9" s="72" customFormat="1" ht="24.65" customHeight="1" x14ac:dyDescent="0.35">
      <c r="A166" s="48"/>
      <c r="B166" s="80"/>
      <c r="C166" s="80"/>
      <c r="D166" s="81"/>
      <c r="E166" s="82"/>
      <c r="F166" s="79"/>
      <c r="G166" s="79"/>
      <c r="H166" s="48"/>
      <c r="I166" s="48"/>
    </row>
    <row r="167" spans="1:9" x14ac:dyDescent="0.35">
      <c r="A167" s="48"/>
      <c r="B167" s="48"/>
      <c r="C167" s="48"/>
      <c r="D167" s="48"/>
      <c r="E167" s="48"/>
      <c r="F167" s="48"/>
      <c r="G167" s="48"/>
      <c r="H167" s="48"/>
      <c r="I167" s="48"/>
    </row>
    <row r="168" spans="1:9" x14ac:dyDescent="0.35">
      <c r="A168" s="48"/>
      <c r="B168" s="107" t="s">
        <v>209</v>
      </c>
      <c r="C168" s="107"/>
      <c r="D168" s="86"/>
      <c r="E168" s="87"/>
      <c r="F168" s="48"/>
      <c r="G168" s="48"/>
      <c r="H168" s="48"/>
      <c r="I168" s="48"/>
    </row>
    <row r="169" spans="1:9" x14ac:dyDescent="0.35">
      <c r="A169" s="48"/>
      <c r="B169" s="88" t="s">
        <v>210</v>
      </c>
      <c r="C169" s="88"/>
      <c r="D169" s="88"/>
      <c r="E169" s="88"/>
      <c r="F169" s="48"/>
      <c r="G169" s="48"/>
      <c r="H169" s="48"/>
      <c r="I169" s="48"/>
    </row>
    <row r="170" spans="1:9" x14ac:dyDescent="0.35">
      <c r="A170" s="48"/>
      <c r="B170" s="89" t="s">
        <v>211</v>
      </c>
      <c r="C170" s="90"/>
      <c r="D170" s="91"/>
      <c r="E170" s="92">
        <v>0</v>
      </c>
      <c r="F170" s="48"/>
      <c r="G170" s="48"/>
      <c r="H170" s="48"/>
      <c r="I170" s="48"/>
    </row>
    <row r="171" spans="1:9" x14ac:dyDescent="0.35">
      <c r="A171" s="48"/>
      <c r="B171" s="89" t="s">
        <v>212</v>
      </c>
      <c r="C171" s="90"/>
      <c r="D171" s="91"/>
      <c r="E171" s="92">
        <v>0</v>
      </c>
      <c r="F171" s="48"/>
      <c r="G171" s="48"/>
      <c r="H171" s="48"/>
      <c r="I171" s="48"/>
    </row>
    <row r="172" spans="1:9" x14ac:dyDescent="0.35">
      <c r="A172" s="48"/>
      <c r="B172" s="89" t="s">
        <v>213</v>
      </c>
      <c r="C172" s="90"/>
      <c r="D172" s="91"/>
      <c r="E172" s="92">
        <v>0</v>
      </c>
      <c r="F172" s="48"/>
      <c r="G172" s="48"/>
      <c r="H172" s="48"/>
      <c r="I172" s="48"/>
    </row>
    <row r="173" spans="1:9" x14ac:dyDescent="0.35">
      <c r="A173" s="48"/>
      <c r="B173" s="89" t="s">
        <v>214</v>
      </c>
      <c r="C173" s="90"/>
      <c r="D173" s="91"/>
      <c r="E173" s="92">
        <v>0</v>
      </c>
      <c r="F173" s="48"/>
      <c r="G173" s="48"/>
      <c r="H173" s="48"/>
      <c r="I173" s="48"/>
    </row>
    <row r="174" spans="1:9" x14ac:dyDescent="0.35">
      <c r="A174" s="48"/>
      <c r="B174" s="89" t="s">
        <v>204</v>
      </c>
      <c r="C174" s="90"/>
      <c r="D174" s="91"/>
      <c r="E174" s="92">
        <v>0</v>
      </c>
      <c r="F174" s="48"/>
      <c r="G174" s="48"/>
      <c r="H174" s="48"/>
      <c r="I174" s="48"/>
    </row>
    <row r="175" spans="1:9" x14ac:dyDescent="0.35">
      <c r="A175" s="48"/>
      <c r="B175" s="48"/>
      <c r="C175" s="48"/>
      <c r="D175" s="48"/>
      <c r="E175" s="48"/>
      <c r="F175" s="48"/>
      <c r="G175" s="48"/>
      <c r="H175" s="48"/>
      <c r="I175" s="48"/>
    </row>
    <row r="176" spans="1:9" x14ac:dyDescent="0.35">
      <c r="A176" s="48"/>
      <c r="B176" s="105" t="s">
        <v>215</v>
      </c>
      <c r="C176" s="105"/>
      <c r="D176" s="50"/>
      <c r="E176" s="97"/>
      <c r="F176" s="48"/>
      <c r="G176" s="48"/>
      <c r="H176" s="48"/>
      <c r="I176" s="48"/>
    </row>
    <row r="177" spans="1:9" x14ac:dyDescent="0.35">
      <c r="A177" s="48"/>
      <c r="B177" s="100" t="s">
        <v>216</v>
      </c>
      <c r="C177" s="101"/>
      <c r="D177" s="102"/>
      <c r="E177" s="103"/>
      <c r="F177" s="48"/>
      <c r="G177" s="48"/>
      <c r="H177" s="48"/>
      <c r="I177" s="48"/>
    </row>
    <row r="178" spans="1:9" x14ac:dyDescent="0.35">
      <c r="A178" s="48"/>
      <c r="B178" s="89" t="s">
        <v>211</v>
      </c>
      <c r="C178" s="90"/>
      <c r="D178" s="91"/>
      <c r="E178" s="92">
        <v>82</v>
      </c>
      <c r="F178" s="48"/>
      <c r="G178" s="48"/>
      <c r="H178" s="48"/>
      <c r="I178" s="48"/>
    </row>
    <row r="179" spans="1:9" x14ac:dyDescent="0.35">
      <c r="A179" s="48"/>
      <c r="B179" s="89" t="s">
        <v>212</v>
      </c>
      <c r="C179" s="90"/>
      <c r="D179" s="91"/>
      <c r="E179" s="92">
        <v>70</v>
      </c>
      <c r="F179" s="48"/>
      <c r="G179" s="48"/>
      <c r="H179" s="48"/>
      <c r="I179" s="48"/>
    </row>
    <row r="180" spans="1:9" x14ac:dyDescent="0.35">
      <c r="A180" s="48"/>
      <c r="B180" s="89" t="s">
        <v>213</v>
      </c>
      <c r="C180" s="90"/>
      <c r="D180" s="91"/>
      <c r="E180" s="104">
        <v>10.172048999999999</v>
      </c>
      <c r="F180" s="48"/>
      <c r="G180" s="48"/>
      <c r="H180" s="48"/>
      <c r="I180" s="48"/>
    </row>
    <row r="181" spans="1:9" x14ac:dyDescent="0.35">
      <c r="A181" s="48"/>
      <c r="B181" s="89" t="s">
        <v>214</v>
      </c>
      <c r="C181" s="90"/>
      <c r="D181" s="91"/>
      <c r="E181" s="104">
        <v>4.5238375</v>
      </c>
      <c r="F181" s="48"/>
      <c r="G181" s="48"/>
      <c r="H181" s="48"/>
      <c r="I181" s="48"/>
    </row>
    <row r="182" spans="1:9" x14ac:dyDescent="0.35">
      <c r="A182" s="48"/>
      <c r="B182" s="89" t="s">
        <v>204</v>
      </c>
      <c r="C182" s="90"/>
      <c r="D182" s="91"/>
      <c r="E182" s="94">
        <v>-4.6970181000000002</v>
      </c>
      <c r="F182" s="48"/>
      <c r="G182" s="48"/>
      <c r="H182" s="48"/>
      <c r="I182" s="48"/>
    </row>
    <row r="183" spans="1:9" x14ac:dyDescent="0.35">
      <c r="A183" s="48"/>
      <c r="B183" s="48"/>
      <c r="C183" s="48"/>
      <c r="D183" s="48"/>
      <c r="E183" s="48"/>
      <c r="F183" s="48"/>
      <c r="G183" s="48"/>
      <c r="H183" s="48"/>
      <c r="I183" s="48"/>
    </row>
    <row r="184" spans="1:9" x14ac:dyDescent="0.35">
      <c r="A184" s="48"/>
      <c r="B184" s="48"/>
      <c r="C184" s="48"/>
      <c r="D184" s="48"/>
      <c r="E184" s="48"/>
      <c r="F184" s="48"/>
      <c r="G184" s="48"/>
      <c r="H184" s="48"/>
      <c r="I184" s="48"/>
    </row>
    <row r="185" spans="1:9" x14ac:dyDescent="0.35">
      <c r="A185" s="48"/>
      <c r="B185" s="48" t="s">
        <v>217</v>
      </c>
      <c r="C185" s="48"/>
      <c r="D185" s="48"/>
      <c r="E185" s="48"/>
      <c r="F185" s="48"/>
      <c r="G185" s="48"/>
      <c r="H185" s="48"/>
      <c r="I185" s="48"/>
    </row>
    <row r="186" spans="1:9" x14ac:dyDescent="0.35">
      <c r="A186" s="48"/>
      <c r="B186" s="48"/>
      <c r="C186" s="48"/>
      <c r="D186" s="48"/>
      <c r="E186" s="48"/>
      <c r="F186" s="48"/>
      <c r="G186" s="48"/>
      <c r="H186" s="48"/>
      <c r="I186" s="48"/>
    </row>
    <row r="187" spans="1:9" ht="31" customHeight="1" x14ac:dyDescent="0.35">
      <c r="A187" s="48"/>
      <c r="B187" s="108" t="s">
        <v>218</v>
      </c>
      <c r="C187" s="109"/>
      <c r="D187" s="109"/>
      <c r="E187" s="109"/>
      <c r="F187" s="48"/>
      <c r="G187" s="48"/>
      <c r="H187" s="48"/>
      <c r="I187" s="48"/>
    </row>
    <row r="188" spans="1:9" x14ac:dyDescent="0.35">
      <c r="A188" s="48"/>
      <c r="B188" s="48"/>
      <c r="C188" s="48"/>
      <c r="D188" s="48"/>
      <c r="E188" s="48"/>
      <c r="F188" s="48"/>
      <c r="G188" s="48"/>
      <c r="H188" s="48"/>
      <c r="I188" s="48"/>
    </row>
    <row r="189" spans="1:9" x14ac:dyDescent="0.35">
      <c r="A189" s="48"/>
      <c r="B189" s="106" t="s">
        <v>219</v>
      </c>
      <c r="C189" s="48" t="s">
        <v>220</v>
      </c>
      <c r="D189" s="48"/>
      <c r="E189" s="48"/>
      <c r="F189" s="48"/>
      <c r="G189" s="48"/>
      <c r="H189" s="48"/>
      <c r="I189" s="48"/>
    </row>
    <row r="190" spans="1:9" x14ac:dyDescent="0.35">
      <c r="A190" s="48"/>
      <c r="B190" s="48"/>
      <c r="C190" s="48" t="s">
        <v>221</v>
      </c>
      <c r="D190" s="48"/>
      <c r="E190" s="48"/>
      <c r="F190" s="48"/>
      <c r="G190" s="48"/>
      <c r="H190" s="48"/>
      <c r="I190" s="48"/>
    </row>
    <row r="191" spans="1:9" x14ac:dyDescent="0.35">
      <c r="A191" s="48"/>
      <c r="B191" s="48"/>
      <c r="C191" s="48"/>
      <c r="D191" s="48"/>
      <c r="E191" s="48"/>
      <c r="F191" s="48"/>
      <c r="G191" s="48"/>
      <c r="H191" s="48"/>
      <c r="I191" s="48"/>
    </row>
    <row r="192" spans="1:9" x14ac:dyDescent="0.35">
      <c r="A192" s="48"/>
      <c r="B192" s="48"/>
      <c r="C192" s="48"/>
      <c r="D192" s="48"/>
      <c r="E192" s="48"/>
      <c r="F192" s="48"/>
      <c r="G192" s="48"/>
      <c r="H192" s="48"/>
      <c r="I192" s="48"/>
    </row>
    <row r="193" spans="1:9" x14ac:dyDescent="0.35">
      <c r="A193" s="48"/>
      <c r="B193" s="48"/>
      <c r="C193" s="48"/>
      <c r="D193" s="48"/>
      <c r="E193" s="48"/>
      <c r="F193" s="48"/>
      <c r="G193" s="48"/>
      <c r="H193" s="48"/>
      <c r="I193" s="48"/>
    </row>
    <row r="194" spans="1:9" x14ac:dyDescent="0.35">
      <c r="A194" s="48"/>
      <c r="B194" s="48"/>
      <c r="C194" s="48"/>
      <c r="D194" s="48"/>
      <c r="E194" s="48"/>
      <c r="F194" s="48"/>
      <c r="G194" s="48"/>
      <c r="H194" s="48"/>
      <c r="I194" s="48"/>
    </row>
    <row r="195" spans="1:9" x14ac:dyDescent="0.35">
      <c r="A195" s="48"/>
      <c r="B195" s="48"/>
      <c r="C195" s="48"/>
      <c r="D195" s="48"/>
      <c r="E195" s="48"/>
      <c r="F195" s="48"/>
      <c r="G195" s="48"/>
      <c r="H195" s="48"/>
      <c r="I195" s="48"/>
    </row>
    <row r="196" spans="1:9" x14ac:dyDescent="0.35">
      <c r="A196" s="48"/>
      <c r="B196" s="48"/>
      <c r="C196" s="48"/>
      <c r="D196" s="48"/>
      <c r="E196" s="48"/>
      <c r="F196" s="48"/>
      <c r="G196" s="48"/>
      <c r="H196" s="48"/>
      <c r="I196" s="48"/>
    </row>
    <row r="197" spans="1:9" x14ac:dyDescent="0.35">
      <c r="A197" s="48"/>
      <c r="B197" s="48"/>
      <c r="C197" s="48"/>
      <c r="D197" s="48"/>
      <c r="E197" s="48"/>
      <c r="F197" s="48"/>
      <c r="G197" s="48"/>
      <c r="H197" s="48"/>
      <c r="I197" s="48"/>
    </row>
    <row r="198" spans="1:9" x14ac:dyDescent="0.35">
      <c r="A198" s="48"/>
      <c r="B198" s="48"/>
      <c r="C198" s="48"/>
      <c r="D198" s="48"/>
      <c r="E198" s="48"/>
      <c r="F198" s="48"/>
      <c r="G198" s="48"/>
      <c r="H198" s="48"/>
      <c r="I198" s="48"/>
    </row>
    <row r="199" spans="1:9" ht="58" customHeight="1" x14ac:dyDescent="0.35">
      <c r="A199" s="48"/>
      <c r="B199" s="108" t="s">
        <v>222</v>
      </c>
      <c r="C199" s="108"/>
      <c r="D199" s="108"/>
      <c r="E199" s="48"/>
      <c r="F199" s="48"/>
      <c r="G199" s="48"/>
      <c r="H199" s="48"/>
      <c r="I199" s="48"/>
    </row>
    <row r="200" spans="1:9" x14ac:dyDescent="0.35">
      <c r="A200" s="48"/>
      <c r="B200" s="48"/>
      <c r="C200" s="48"/>
      <c r="D200" s="48"/>
      <c r="E200" s="48"/>
      <c r="F200" s="48"/>
      <c r="G200" s="48"/>
      <c r="H200" s="48"/>
      <c r="I200" s="48"/>
    </row>
    <row r="201" spans="1:9" x14ac:dyDescent="0.35">
      <c r="A201" s="48"/>
      <c r="B201" s="48"/>
      <c r="C201" s="48"/>
      <c r="D201" s="48"/>
      <c r="E201" s="48"/>
      <c r="F201" s="48"/>
      <c r="G201" s="48"/>
      <c r="H201" s="48"/>
      <c r="I201" s="48"/>
    </row>
    <row r="202" spans="1:9" x14ac:dyDescent="0.35">
      <c r="A202" s="48"/>
      <c r="B202" s="48"/>
      <c r="C202" s="48"/>
      <c r="D202" s="48"/>
      <c r="E202" s="48"/>
      <c r="F202" s="48"/>
      <c r="G202" s="48"/>
      <c r="H202" s="48"/>
      <c r="I202" s="48"/>
    </row>
    <row r="203" spans="1:9" x14ac:dyDescent="0.35">
      <c r="A203" s="48"/>
      <c r="B203" s="48"/>
      <c r="C203" s="48"/>
      <c r="D203" s="48"/>
      <c r="E203" s="48"/>
      <c r="F203" s="48"/>
      <c r="G203" s="48"/>
      <c r="H203" s="48"/>
      <c r="I203" s="48"/>
    </row>
    <row r="204" spans="1:9" x14ac:dyDescent="0.35">
      <c r="A204" s="48"/>
      <c r="B204" s="48"/>
      <c r="C204" s="48"/>
      <c r="D204" s="48"/>
      <c r="E204" s="48"/>
      <c r="F204" s="48"/>
      <c r="G204" s="48"/>
      <c r="H204" s="48"/>
      <c r="I204" s="48"/>
    </row>
    <row r="205" spans="1:9" x14ac:dyDescent="0.35">
      <c r="A205" s="48"/>
      <c r="B205" s="48"/>
      <c r="C205" s="48"/>
      <c r="D205" s="48"/>
      <c r="E205" s="48"/>
      <c r="F205" s="48"/>
      <c r="G205" s="48"/>
      <c r="H205" s="48"/>
      <c r="I205" s="48"/>
    </row>
    <row r="206" spans="1:9" x14ac:dyDescent="0.35">
      <c r="A206" s="48"/>
      <c r="B206" s="48"/>
      <c r="C206" s="48"/>
      <c r="D206" s="48"/>
      <c r="E206" s="48"/>
      <c r="F206" s="48"/>
      <c r="G206" s="48"/>
      <c r="H206" s="48"/>
      <c r="I206" s="48"/>
    </row>
    <row r="207" spans="1:9" x14ac:dyDescent="0.35">
      <c r="A207" s="48"/>
      <c r="B207" s="48"/>
      <c r="C207" s="48"/>
      <c r="D207" s="48"/>
      <c r="E207" s="48"/>
      <c r="F207" s="48"/>
      <c r="G207" s="48"/>
      <c r="H207" s="48"/>
      <c r="I207" s="48"/>
    </row>
    <row r="208" spans="1:9" x14ac:dyDescent="0.35">
      <c r="A208" s="48"/>
      <c r="B208" s="48"/>
      <c r="C208" s="48"/>
      <c r="D208" s="48"/>
      <c r="E208" s="48"/>
      <c r="F208" s="48"/>
      <c r="G208" s="48"/>
      <c r="H208" s="48"/>
      <c r="I208" s="48"/>
    </row>
    <row r="209" spans="1:9" x14ac:dyDescent="0.35">
      <c r="A209" s="48"/>
      <c r="B209" s="48"/>
      <c r="C209" s="48"/>
      <c r="D209" s="48"/>
      <c r="E209" s="48"/>
      <c r="F209" s="48"/>
      <c r="G209" s="48"/>
      <c r="H209" s="48"/>
      <c r="I209" s="48"/>
    </row>
    <row r="210" spans="1:9" x14ac:dyDescent="0.35">
      <c r="A210" s="48"/>
      <c r="B210" s="48"/>
      <c r="C210" s="48"/>
      <c r="D210" s="48"/>
      <c r="E210" s="48"/>
      <c r="F210" s="48"/>
      <c r="G210" s="48"/>
      <c r="H210" s="48"/>
      <c r="I210" s="48"/>
    </row>
    <row r="211" spans="1:9" x14ac:dyDescent="0.35">
      <c r="A211" s="48"/>
      <c r="B211" s="48"/>
      <c r="C211" s="48"/>
      <c r="D211" s="48"/>
      <c r="E211" s="48"/>
      <c r="F211" s="48"/>
      <c r="G211" s="48"/>
      <c r="H211" s="48"/>
      <c r="I211" s="48"/>
    </row>
    <row r="212" spans="1:9" x14ac:dyDescent="0.35">
      <c r="A212" s="48"/>
      <c r="B212" s="48"/>
      <c r="C212" s="48"/>
      <c r="D212" s="48"/>
      <c r="E212" s="48"/>
      <c r="F212" s="48"/>
      <c r="G212" s="48"/>
      <c r="H212" s="48"/>
      <c r="I212" s="48"/>
    </row>
    <row r="213" spans="1:9" x14ac:dyDescent="0.35">
      <c r="A213" s="48"/>
      <c r="B213" s="48"/>
      <c r="C213" s="48"/>
      <c r="D213" s="48"/>
      <c r="E213" s="48"/>
      <c r="F213" s="48"/>
      <c r="G213" s="48"/>
      <c r="H213" s="48"/>
      <c r="I213" s="48"/>
    </row>
    <row r="214" spans="1:9" x14ac:dyDescent="0.35">
      <c r="A214" s="48"/>
      <c r="B214" s="48"/>
      <c r="C214" s="48"/>
      <c r="D214" s="48"/>
      <c r="E214" s="48"/>
      <c r="F214" s="48"/>
      <c r="G214" s="48"/>
      <c r="H214" s="48"/>
      <c r="I214" s="48"/>
    </row>
    <row r="215" spans="1:9" x14ac:dyDescent="0.35">
      <c r="A215" s="48"/>
      <c r="B215" s="48"/>
      <c r="C215" s="48"/>
      <c r="D215" s="48"/>
      <c r="E215" s="48"/>
      <c r="F215" s="48"/>
      <c r="G215" s="48"/>
      <c r="H215" s="48"/>
      <c r="I215" s="48"/>
    </row>
    <row r="216" spans="1:9" x14ac:dyDescent="0.35">
      <c r="A216" s="48"/>
      <c r="B216" s="48"/>
      <c r="C216" s="48"/>
      <c r="D216" s="48"/>
      <c r="E216" s="48"/>
      <c r="F216" s="48"/>
      <c r="G216" s="48"/>
      <c r="H216" s="48"/>
      <c r="I216" s="48"/>
    </row>
    <row r="217" spans="1:9" x14ac:dyDescent="0.35">
      <c r="A217" s="48"/>
      <c r="B217" s="48"/>
      <c r="C217" s="48"/>
      <c r="D217" s="48"/>
      <c r="E217" s="48"/>
      <c r="F217" s="48"/>
      <c r="G217" s="48"/>
      <c r="H217" s="48"/>
      <c r="I217" s="48"/>
    </row>
    <row r="218" spans="1:9" x14ac:dyDescent="0.35">
      <c r="A218" s="48"/>
      <c r="B218" s="48"/>
      <c r="C218" s="48"/>
      <c r="D218" s="48"/>
      <c r="E218" s="48"/>
      <c r="F218" s="48"/>
      <c r="G218" s="48"/>
      <c r="H218" s="48"/>
      <c r="I218" s="48"/>
    </row>
    <row r="219" spans="1:9" x14ac:dyDescent="0.35">
      <c r="A219" s="48"/>
      <c r="B219" s="48"/>
      <c r="C219" s="48"/>
      <c r="D219" s="48"/>
      <c r="E219" s="48"/>
      <c r="F219" s="48"/>
      <c r="G219" s="48"/>
      <c r="H219" s="48"/>
      <c r="I219" s="48"/>
    </row>
    <row r="220" spans="1:9" x14ac:dyDescent="0.35">
      <c r="A220" s="48"/>
      <c r="B220" s="48"/>
      <c r="C220" s="48"/>
      <c r="D220" s="48"/>
      <c r="E220" s="48"/>
      <c r="F220" s="48"/>
      <c r="G220" s="48"/>
      <c r="H220" s="48"/>
      <c r="I220" s="48"/>
    </row>
    <row r="221" spans="1:9" x14ac:dyDescent="0.35">
      <c r="A221" s="48"/>
      <c r="B221" s="48"/>
      <c r="C221" s="48"/>
      <c r="D221" s="48"/>
      <c r="E221" s="48"/>
      <c r="F221" s="48"/>
      <c r="G221" s="48"/>
      <c r="H221" s="48"/>
      <c r="I221" s="48"/>
    </row>
    <row r="222" spans="1:9" x14ac:dyDescent="0.35">
      <c r="A222" s="48"/>
      <c r="B222" s="48"/>
      <c r="C222" s="48"/>
      <c r="D222" s="48"/>
      <c r="E222" s="48"/>
      <c r="F222" s="48"/>
      <c r="G222" s="48"/>
      <c r="H222" s="48"/>
      <c r="I222" s="48"/>
    </row>
    <row r="223" spans="1:9" x14ac:dyDescent="0.35">
      <c r="A223" s="48"/>
      <c r="B223" s="48"/>
      <c r="C223" s="48"/>
      <c r="D223" s="48"/>
      <c r="E223" s="48"/>
      <c r="F223" s="48"/>
      <c r="G223" s="48"/>
      <c r="H223" s="48"/>
      <c r="I223" s="48"/>
    </row>
    <row r="224" spans="1:9" x14ac:dyDescent="0.35">
      <c r="A224" s="48"/>
      <c r="B224" s="48"/>
      <c r="C224" s="48"/>
      <c r="D224" s="48"/>
      <c r="E224" s="48"/>
      <c r="F224" s="48"/>
      <c r="G224" s="48"/>
      <c r="H224" s="48"/>
      <c r="I224" s="48"/>
    </row>
    <row r="225" spans="1:9" x14ac:dyDescent="0.35">
      <c r="A225" s="48"/>
      <c r="B225" s="48"/>
      <c r="C225" s="48"/>
      <c r="D225" s="48"/>
      <c r="E225" s="48"/>
      <c r="F225" s="48"/>
      <c r="G225" s="48"/>
      <c r="H225" s="48"/>
      <c r="I225" s="48"/>
    </row>
    <row r="226" spans="1:9" x14ac:dyDescent="0.35">
      <c r="A226" s="48"/>
      <c r="B226" s="48"/>
      <c r="C226" s="48"/>
      <c r="D226" s="48"/>
      <c r="E226" s="48"/>
      <c r="F226" s="48"/>
      <c r="G226" s="48"/>
      <c r="H226" s="48"/>
      <c r="I226" s="48"/>
    </row>
    <row r="227" spans="1:9" x14ac:dyDescent="0.35">
      <c r="A227" s="48"/>
      <c r="B227" s="48"/>
      <c r="C227" s="48"/>
      <c r="D227" s="48"/>
      <c r="E227" s="48"/>
      <c r="F227" s="48"/>
      <c r="G227" s="48"/>
      <c r="H227" s="48"/>
      <c r="I227" s="48"/>
    </row>
    <row r="228" spans="1:9" x14ac:dyDescent="0.35">
      <c r="A228" s="48"/>
      <c r="B228" s="48"/>
      <c r="C228" s="48"/>
      <c r="D228" s="48"/>
      <c r="E228" s="48"/>
      <c r="F228" s="48"/>
      <c r="G228" s="48"/>
      <c r="H228" s="48"/>
      <c r="I228" s="48"/>
    </row>
    <row r="229" spans="1:9" x14ac:dyDescent="0.35">
      <c r="A229" s="48"/>
      <c r="B229" s="48"/>
      <c r="C229" s="48"/>
      <c r="D229" s="48"/>
      <c r="E229" s="48"/>
      <c r="F229" s="48"/>
      <c r="G229" s="48"/>
      <c r="H229" s="48"/>
      <c r="I229" s="48"/>
    </row>
    <row r="230" spans="1:9" x14ac:dyDescent="0.35">
      <c r="A230" s="48"/>
      <c r="B230" s="48"/>
      <c r="C230" s="48"/>
      <c r="D230" s="48"/>
      <c r="E230" s="48"/>
      <c r="F230" s="48"/>
      <c r="G230" s="48"/>
      <c r="H230" s="48"/>
      <c r="I230" s="48"/>
    </row>
    <row r="231" spans="1:9" x14ac:dyDescent="0.35">
      <c r="A231" s="48"/>
      <c r="B231" s="48"/>
      <c r="C231" s="48"/>
      <c r="D231" s="48"/>
      <c r="E231" s="48"/>
      <c r="F231" s="48"/>
      <c r="G231" s="48"/>
      <c r="H231" s="48"/>
      <c r="I231" s="48"/>
    </row>
    <row r="232" spans="1:9" x14ac:dyDescent="0.35">
      <c r="A232" s="48"/>
      <c r="B232" s="48"/>
      <c r="C232" s="48"/>
      <c r="D232" s="48"/>
      <c r="E232" s="48"/>
      <c r="F232" s="48"/>
      <c r="G232" s="48"/>
      <c r="H232" s="48"/>
      <c r="I232" s="48"/>
    </row>
    <row r="233" spans="1:9" x14ac:dyDescent="0.35">
      <c r="A233" s="48"/>
      <c r="B233" s="48"/>
      <c r="C233" s="48"/>
      <c r="D233" s="48"/>
      <c r="E233" s="48"/>
      <c r="F233" s="48"/>
      <c r="G233" s="48"/>
      <c r="H233" s="48"/>
      <c r="I233" s="48"/>
    </row>
    <row r="234" spans="1:9" x14ac:dyDescent="0.35">
      <c r="A234" s="48"/>
      <c r="B234" s="48"/>
      <c r="C234" s="48"/>
      <c r="D234" s="48"/>
      <c r="E234" s="48"/>
      <c r="F234" s="48"/>
      <c r="G234" s="48"/>
      <c r="H234" s="48"/>
      <c r="I234" s="48"/>
    </row>
    <row r="235" spans="1:9" x14ac:dyDescent="0.35">
      <c r="A235" s="48"/>
      <c r="B235" s="48"/>
      <c r="C235" s="48"/>
      <c r="D235" s="48"/>
      <c r="E235" s="48"/>
      <c r="F235" s="48"/>
      <c r="G235" s="48"/>
      <c r="H235" s="48"/>
      <c r="I235" s="48"/>
    </row>
    <row r="236" spans="1:9" x14ac:dyDescent="0.35">
      <c r="A236" s="48"/>
      <c r="B236" s="48"/>
      <c r="C236" s="48"/>
      <c r="D236" s="48"/>
      <c r="E236" s="48"/>
      <c r="F236" s="48"/>
      <c r="G236" s="48"/>
      <c r="H236" s="48"/>
      <c r="I236" s="48"/>
    </row>
    <row r="237" spans="1:9" x14ac:dyDescent="0.35">
      <c r="A237" s="48"/>
      <c r="B237" s="48"/>
      <c r="C237" s="48"/>
      <c r="D237" s="48"/>
      <c r="E237" s="48"/>
      <c r="F237" s="48"/>
      <c r="G237" s="48"/>
      <c r="H237" s="48"/>
      <c r="I237" s="48"/>
    </row>
    <row r="238" spans="1:9" x14ac:dyDescent="0.35">
      <c r="A238" s="48"/>
      <c r="B238" s="48"/>
      <c r="C238" s="48"/>
      <c r="D238" s="48"/>
      <c r="E238" s="48"/>
      <c r="F238" s="48"/>
      <c r="G238" s="48"/>
      <c r="H238" s="48"/>
      <c r="I238" s="48"/>
    </row>
    <row r="239" spans="1:9" x14ac:dyDescent="0.35">
      <c r="A239" s="48"/>
      <c r="B239" s="48"/>
      <c r="C239" s="48"/>
      <c r="D239" s="48"/>
      <c r="E239" s="48"/>
      <c r="F239" s="48"/>
      <c r="G239" s="48"/>
      <c r="H239" s="48"/>
      <c r="I239" s="48"/>
    </row>
    <row r="240" spans="1:9" x14ac:dyDescent="0.35">
      <c r="A240" s="48"/>
      <c r="B240" s="48"/>
      <c r="C240" s="48"/>
      <c r="D240" s="48"/>
      <c r="E240" s="48"/>
      <c r="F240" s="48"/>
      <c r="G240" s="48"/>
      <c r="H240" s="48"/>
      <c r="I240" s="48"/>
    </row>
    <row r="241" spans="1:9" x14ac:dyDescent="0.35">
      <c r="A241" s="48"/>
      <c r="B241" s="48"/>
      <c r="C241" s="48"/>
      <c r="D241" s="48"/>
      <c r="E241" s="48"/>
      <c r="F241" s="48"/>
      <c r="G241" s="48"/>
      <c r="H241" s="48"/>
      <c r="I241" s="48"/>
    </row>
    <row r="242" spans="1:9" x14ac:dyDescent="0.35">
      <c r="A242" s="48"/>
      <c r="B242" s="48"/>
      <c r="C242" s="48"/>
      <c r="D242" s="48"/>
      <c r="E242" s="48"/>
      <c r="F242" s="48"/>
      <c r="G242" s="48"/>
      <c r="H242" s="48"/>
      <c r="I242" s="48"/>
    </row>
    <row r="243" spans="1:9" x14ac:dyDescent="0.35">
      <c r="A243" s="48"/>
      <c r="B243" s="48"/>
      <c r="C243" s="48"/>
      <c r="D243" s="48"/>
      <c r="E243" s="48"/>
      <c r="F243" s="48"/>
      <c r="G243" s="48"/>
      <c r="H243" s="48"/>
      <c r="I243" s="48"/>
    </row>
    <row r="244" spans="1:9" x14ac:dyDescent="0.35">
      <c r="A244" s="48"/>
      <c r="B244" s="48"/>
      <c r="C244" s="48"/>
      <c r="D244" s="48"/>
      <c r="E244" s="48"/>
      <c r="F244" s="48"/>
      <c r="G244" s="48"/>
      <c r="H244" s="48"/>
      <c r="I244" s="48"/>
    </row>
    <row r="245" spans="1:9" x14ac:dyDescent="0.35">
      <c r="A245" s="48"/>
      <c r="B245" s="48"/>
      <c r="C245" s="48"/>
      <c r="D245" s="48"/>
      <c r="E245" s="48"/>
      <c r="F245" s="48"/>
      <c r="G245" s="48"/>
      <c r="H245" s="48"/>
      <c r="I245" s="48"/>
    </row>
    <row r="246" spans="1:9" x14ac:dyDescent="0.35">
      <c r="A246" s="48"/>
      <c r="B246" s="48"/>
      <c r="C246" s="48"/>
      <c r="D246" s="48"/>
      <c r="E246" s="48"/>
      <c r="F246" s="48"/>
      <c r="G246" s="48"/>
      <c r="H246" s="48"/>
      <c r="I246" s="48"/>
    </row>
    <row r="247" spans="1:9" x14ac:dyDescent="0.35">
      <c r="A247" s="48"/>
      <c r="B247" s="48"/>
      <c r="C247" s="48"/>
      <c r="D247" s="48"/>
      <c r="E247" s="48"/>
      <c r="F247" s="48"/>
      <c r="G247" s="48"/>
      <c r="H247" s="48"/>
      <c r="I247" s="48"/>
    </row>
    <row r="248" spans="1:9" x14ac:dyDescent="0.35">
      <c r="A248" s="48"/>
      <c r="B248" s="48"/>
      <c r="C248" s="48"/>
      <c r="D248" s="48"/>
      <c r="E248" s="48"/>
      <c r="F248" s="48"/>
      <c r="G248" s="48"/>
      <c r="H248" s="48"/>
      <c r="I248" s="48"/>
    </row>
    <row r="249" spans="1:9" x14ac:dyDescent="0.35">
      <c r="A249" s="48"/>
      <c r="B249" s="48"/>
      <c r="C249" s="48"/>
      <c r="D249" s="48"/>
      <c r="E249" s="48"/>
      <c r="F249" s="48"/>
      <c r="G249" s="48"/>
      <c r="H249" s="48"/>
      <c r="I249" s="48"/>
    </row>
    <row r="250" spans="1:9" x14ac:dyDescent="0.35">
      <c r="A250" s="48"/>
      <c r="B250" s="48"/>
      <c r="C250" s="48"/>
      <c r="D250" s="48"/>
      <c r="E250" s="48"/>
      <c r="F250" s="48"/>
      <c r="G250" s="48"/>
      <c r="H250" s="48"/>
      <c r="I250" s="48"/>
    </row>
    <row r="251" spans="1:9" x14ac:dyDescent="0.35">
      <c r="A251" s="48"/>
      <c r="B251" s="48"/>
      <c r="C251" s="48"/>
      <c r="D251" s="48"/>
      <c r="E251" s="48"/>
      <c r="F251" s="48"/>
      <c r="G251" s="48"/>
      <c r="H251" s="48"/>
      <c r="I251" s="48"/>
    </row>
    <row r="252" spans="1:9" x14ac:dyDescent="0.35">
      <c r="A252" s="48"/>
      <c r="B252" s="48"/>
      <c r="C252" s="48"/>
      <c r="D252" s="48"/>
      <c r="E252" s="48"/>
      <c r="F252" s="48"/>
      <c r="G252" s="48"/>
      <c r="H252" s="48"/>
      <c r="I252" s="48"/>
    </row>
    <row r="253" spans="1:9" x14ac:dyDescent="0.35">
      <c r="A253" s="48"/>
      <c r="B253" s="48"/>
      <c r="C253" s="48"/>
      <c r="D253" s="48"/>
      <c r="E253" s="48"/>
      <c r="F253" s="48"/>
      <c r="G253" s="48"/>
      <c r="H253" s="48"/>
      <c r="I253" s="48"/>
    </row>
    <row r="254" spans="1:9" x14ac:dyDescent="0.35">
      <c r="A254" s="48"/>
      <c r="B254" s="48"/>
      <c r="C254" s="48"/>
      <c r="D254" s="48"/>
      <c r="E254" s="48"/>
      <c r="F254" s="48"/>
      <c r="G254" s="48"/>
      <c r="H254" s="48"/>
      <c r="I254" s="48"/>
    </row>
    <row r="255" spans="1:9" x14ac:dyDescent="0.35">
      <c r="A255" s="48"/>
      <c r="B255" s="48"/>
      <c r="C255" s="48"/>
      <c r="D255" s="48"/>
      <c r="E255" s="48"/>
      <c r="F255" s="48"/>
      <c r="G255" s="48"/>
      <c r="H255" s="48"/>
      <c r="I255" s="48"/>
    </row>
    <row r="256" spans="1:9" x14ac:dyDescent="0.35">
      <c r="A256" s="48"/>
      <c r="B256" s="48"/>
      <c r="C256" s="48"/>
      <c r="D256" s="48"/>
      <c r="E256" s="48"/>
      <c r="F256" s="48"/>
      <c r="G256" s="48"/>
      <c r="H256" s="48"/>
      <c r="I256" s="48"/>
    </row>
    <row r="257" spans="1:9" x14ac:dyDescent="0.35">
      <c r="A257" s="48"/>
      <c r="B257" s="48"/>
      <c r="C257" s="48"/>
      <c r="D257" s="48"/>
      <c r="E257" s="48"/>
      <c r="F257" s="48"/>
      <c r="G257" s="48"/>
      <c r="H257" s="48"/>
      <c r="I257" s="48"/>
    </row>
    <row r="258" spans="1:9" x14ac:dyDescent="0.35">
      <c r="A258" s="48"/>
      <c r="B258" s="48"/>
      <c r="C258" s="48"/>
      <c r="D258" s="48"/>
      <c r="E258" s="48"/>
      <c r="F258" s="48"/>
      <c r="G258" s="48"/>
      <c r="H258" s="48"/>
      <c r="I258" s="48"/>
    </row>
    <row r="259" spans="1:9" x14ac:dyDescent="0.35">
      <c r="A259" s="48"/>
      <c r="B259" s="48"/>
      <c r="C259" s="48"/>
      <c r="D259" s="48"/>
      <c r="E259" s="48"/>
      <c r="F259" s="48"/>
      <c r="G259" s="48"/>
      <c r="H259" s="48"/>
      <c r="I259" s="48"/>
    </row>
    <row r="260" spans="1:9" x14ac:dyDescent="0.35">
      <c r="A260" s="48"/>
      <c r="B260" s="48"/>
      <c r="C260" s="48"/>
      <c r="D260" s="48"/>
      <c r="E260" s="48"/>
      <c r="F260" s="48"/>
      <c r="G260" s="48"/>
      <c r="H260" s="48"/>
      <c r="I260" s="48"/>
    </row>
    <row r="261" spans="1:9" x14ac:dyDescent="0.35">
      <c r="A261" s="48"/>
      <c r="B261" s="48"/>
      <c r="C261" s="48"/>
      <c r="D261" s="48"/>
      <c r="E261" s="48"/>
      <c r="F261" s="48"/>
      <c r="G261" s="48"/>
      <c r="H261" s="48"/>
      <c r="I261" s="48"/>
    </row>
    <row r="262" spans="1:9" x14ac:dyDescent="0.35">
      <c r="A262" s="48"/>
      <c r="B262" s="48"/>
      <c r="C262" s="48"/>
      <c r="D262" s="48"/>
      <c r="E262" s="48"/>
      <c r="F262" s="48"/>
      <c r="G262" s="48"/>
      <c r="H262" s="48"/>
      <c r="I262" s="48"/>
    </row>
    <row r="263" spans="1:9" x14ac:dyDescent="0.35">
      <c r="A263" s="48"/>
      <c r="B263" s="48"/>
      <c r="C263" s="48"/>
      <c r="D263" s="48"/>
      <c r="E263" s="48"/>
      <c r="F263" s="48"/>
      <c r="G263" s="48"/>
      <c r="H263" s="48"/>
      <c r="I263" s="48"/>
    </row>
    <row r="264" spans="1:9" x14ac:dyDescent="0.35">
      <c r="A264" s="48"/>
      <c r="B264" s="48"/>
      <c r="C264" s="48"/>
      <c r="D264" s="48"/>
      <c r="E264" s="48"/>
      <c r="F264" s="48"/>
      <c r="G264" s="48"/>
      <c r="H264" s="48"/>
      <c r="I264" s="48"/>
    </row>
    <row r="265" spans="1:9" x14ac:dyDescent="0.35">
      <c r="A265" s="48"/>
      <c r="B265" s="48"/>
      <c r="C265" s="48"/>
      <c r="D265" s="48"/>
      <c r="E265" s="48"/>
      <c r="F265" s="48"/>
      <c r="G265" s="48"/>
      <c r="H265" s="48"/>
      <c r="I265" s="48"/>
    </row>
    <row r="266" spans="1:9" x14ac:dyDescent="0.35">
      <c r="A266" s="48"/>
      <c r="B266" s="48"/>
      <c r="C266" s="48"/>
      <c r="D266" s="48"/>
      <c r="E266" s="48"/>
      <c r="F266" s="48"/>
      <c r="G266" s="48"/>
      <c r="H266" s="48"/>
      <c r="I266" s="48"/>
    </row>
    <row r="267" spans="1:9" x14ac:dyDescent="0.35">
      <c r="A267" s="48"/>
      <c r="B267" s="48"/>
      <c r="C267" s="48"/>
      <c r="D267" s="48"/>
      <c r="E267" s="48"/>
      <c r="F267" s="48"/>
      <c r="G267" s="48"/>
      <c r="H267" s="48"/>
      <c r="I267" s="48"/>
    </row>
    <row r="268" spans="1:9" x14ac:dyDescent="0.35">
      <c r="A268" s="48"/>
      <c r="B268" s="48"/>
      <c r="C268" s="48"/>
      <c r="D268" s="48"/>
      <c r="E268" s="48"/>
      <c r="F268" s="48"/>
      <c r="G268" s="48"/>
      <c r="H268" s="48"/>
      <c r="I268" s="48"/>
    </row>
    <row r="269" spans="1:9" x14ac:dyDescent="0.35">
      <c r="A269" s="48"/>
      <c r="B269" s="48"/>
      <c r="C269" s="48"/>
      <c r="D269" s="48"/>
      <c r="E269" s="48"/>
      <c r="F269" s="48"/>
      <c r="G269" s="48"/>
      <c r="H269" s="48"/>
      <c r="I269" s="48"/>
    </row>
    <row r="270" spans="1:9" x14ac:dyDescent="0.35">
      <c r="A270" s="48"/>
      <c r="B270" s="48"/>
      <c r="C270" s="48"/>
      <c r="D270" s="48"/>
      <c r="E270" s="48"/>
      <c r="F270" s="48"/>
      <c r="G270" s="48"/>
      <c r="H270" s="48"/>
      <c r="I270" s="48"/>
    </row>
    <row r="271" spans="1:9" x14ac:dyDescent="0.35">
      <c r="A271" s="48"/>
      <c r="B271" s="48"/>
      <c r="C271" s="48"/>
      <c r="D271" s="48"/>
      <c r="E271" s="48"/>
      <c r="F271" s="48"/>
      <c r="G271" s="48"/>
      <c r="H271" s="48"/>
      <c r="I271" s="48"/>
    </row>
    <row r="272" spans="1:9" x14ac:dyDescent="0.35">
      <c r="A272" s="48"/>
      <c r="B272" s="48"/>
      <c r="C272" s="48"/>
      <c r="D272" s="48"/>
      <c r="E272" s="48"/>
      <c r="F272" s="48"/>
      <c r="G272" s="48"/>
      <c r="H272" s="48"/>
      <c r="I272" s="48"/>
    </row>
    <row r="273" spans="1:9" x14ac:dyDescent="0.35">
      <c r="A273" s="48"/>
      <c r="B273" s="48"/>
      <c r="C273" s="48"/>
      <c r="D273" s="48"/>
      <c r="E273" s="48"/>
      <c r="F273" s="48"/>
      <c r="G273" s="48"/>
      <c r="H273" s="48"/>
      <c r="I273" s="48"/>
    </row>
    <row r="274" spans="1:9" x14ac:dyDescent="0.35">
      <c r="A274" s="48"/>
      <c r="B274" s="48"/>
      <c r="C274" s="48"/>
      <c r="D274" s="48"/>
      <c r="E274" s="48"/>
      <c r="F274" s="48"/>
      <c r="G274" s="48"/>
      <c r="H274" s="48"/>
      <c r="I274" s="48"/>
    </row>
    <row r="275" spans="1:9" x14ac:dyDescent="0.35">
      <c r="A275" s="48"/>
      <c r="B275" s="48"/>
      <c r="C275" s="48"/>
      <c r="D275" s="48"/>
      <c r="E275" s="48"/>
      <c r="F275" s="48"/>
      <c r="G275" s="48"/>
      <c r="H275" s="48"/>
      <c r="I275" s="48"/>
    </row>
    <row r="276" spans="1:9" x14ac:dyDescent="0.35">
      <c r="A276" s="48"/>
      <c r="B276" s="48"/>
      <c r="C276" s="48"/>
      <c r="D276" s="48"/>
      <c r="E276" s="48"/>
      <c r="F276" s="48"/>
      <c r="G276" s="48"/>
      <c r="H276" s="48"/>
      <c r="I276" s="48"/>
    </row>
    <row r="277" spans="1:9" x14ac:dyDescent="0.35">
      <c r="A277" s="48"/>
      <c r="B277" s="48"/>
      <c r="C277" s="48"/>
      <c r="D277" s="48"/>
      <c r="E277" s="48"/>
      <c r="F277" s="48"/>
      <c r="G277" s="48"/>
      <c r="H277" s="48"/>
      <c r="I277" s="48"/>
    </row>
    <row r="278" spans="1:9" x14ac:dyDescent="0.35">
      <c r="A278" s="48"/>
      <c r="B278" s="48"/>
      <c r="C278" s="48"/>
      <c r="D278" s="48"/>
      <c r="E278" s="48"/>
      <c r="F278" s="48"/>
      <c r="G278" s="48"/>
      <c r="H278" s="48"/>
      <c r="I278" s="48"/>
    </row>
    <row r="279" spans="1:9" x14ac:dyDescent="0.35">
      <c r="A279" s="48"/>
      <c r="B279" s="48"/>
      <c r="C279" s="48"/>
      <c r="D279" s="48"/>
      <c r="E279" s="48"/>
      <c r="F279" s="48"/>
      <c r="G279" s="48"/>
      <c r="H279" s="48"/>
      <c r="I279" s="48"/>
    </row>
    <row r="280" spans="1:9" x14ac:dyDescent="0.35">
      <c r="A280" s="48"/>
      <c r="B280" s="48"/>
      <c r="C280" s="48"/>
      <c r="D280" s="48"/>
      <c r="E280" s="48"/>
      <c r="F280" s="48"/>
      <c r="G280" s="48"/>
      <c r="H280" s="48"/>
      <c r="I280" s="48"/>
    </row>
    <row r="281" spans="1:9" x14ac:dyDescent="0.35">
      <c r="A281" s="48"/>
      <c r="B281" s="48"/>
      <c r="C281" s="48"/>
      <c r="D281" s="48"/>
      <c r="E281" s="48"/>
      <c r="F281" s="48"/>
      <c r="G281" s="48"/>
      <c r="H281" s="48"/>
      <c r="I281" s="48"/>
    </row>
    <row r="282" spans="1:9" x14ac:dyDescent="0.35">
      <c r="A282" s="48"/>
      <c r="B282" s="48"/>
      <c r="C282" s="48"/>
      <c r="D282" s="48"/>
      <c r="E282" s="48"/>
      <c r="F282" s="48"/>
      <c r="G282" s="48"/>
      <c r="H282" s="48"/>
      <c r="I282" s="48"/>
    </row>
    <row r="283" spans="1:9" x14ac:dyDescent="0.35">
      <c r="A283" s="48"/>
      <c r="B283" s="48"/>
      <c r="C283" s="48"/>
      <c r="D283" s="48"/>
      <c r="E283" s="48"/>
      <c r="F283" s="48"/>
      <c r="G283" s="48"/>
      <c r="H283" s="48"/>
      <c r="I283" s="48"/>
    </row>
    <row r="284" spans="1:9" x14ac:dyDescent="0.35">
      <c r="A284" s="48"/>
      <c r="B284" s="48"/>
      <c r="C284" s="48"/>
      <c r="D284" s="48"/>
      <c r="E284" s="48"/>
      <c r="F284" s="48"/>
      <c r="G284" s="48"/>
      <c r="H284" s="48"/>
      <c r="I284" s="48"/>
    </row>
    <row r="285" spans="1:9" x14ac:dyDescent="0.35">
      <c r="A285" s="48"/>
      <c r="B285" s="48"/>
      <c r="C285" s="48"/>
      <c r="D285" s="48"/>
      <c r="E285" s="48"/>
      <c r="F285" s="48"/>
      <c r="G285" s="48"/>
      <c r="H285" s="48"/>
      <c r="I285" s="48"/>
    </row>
    <row r="286" spans="1:9" x14ac:dyDescent="0.35">
      <c r="A286" s="48"/>
      <c r="B286" s="48"/>
      <c r="C286" s="48"/>
      <c r="D286" s="48"/>
      <c r="E286" s="48"/>
      <c r="F286" s="48"/>
      <c r="G286" s="48"/>
      <c r="H286" s="48"/>
      <c r="I286" s="48"/>
    </row>
    <row r="287" spans="1:9" x14ac:dyDescent="0.35">
      <c r="A287" s="48"/>
      <c r="B287" s="48"/>
      <c r="C287" s="48"/>
      <c r="D287" s="48"/>
      <c r="E287" s="48"/>
      <c r="F287" s="48"/>
      <c r="G287" s="48"/>
      <c r="H287" s="48"/>
      <c r="I287" s="48"/>
    </row>
    <row r="288" spans="1:9" x14ac:dyDescent="0.35">
      <c r="A288" s="48"/>
      <c r="B288" s="48"/>
      <c r="C288" s="48"/>
      <c r="D288" s="48"/>
      <c r="E288" s="48"/>
      <c r="F288" s="48"/>
      <c r="G288" s="48"/>
      <c r="H288" s="48"/>
      <c r="I288" s="48"/>
    </row>
  </sheetData>
  <dataConsolidate/>
  <mergeCells count="9">
    <mergeCell ref="B168:C168"/>
    <mergeCell ref="B187:E187"/>
    <mergeCell ref="B199:D199"/>
    <mergeCell ref="A1:I1"/>
    <mergeCell ref="A2:I2"/>
    <mergeCell ref="A3:I3"/>
    <mergeCell ref="B129:G129"/>
    <mergeCell ref="B131:G131"/>
    <mergeCell ref="B146:C146"/>
  </mergeCells>
  <pageMargins left="0.7" right="0.7" top="0.75" bottom="0.75" header="0.3" footer="0.3"/>
  <pageSetup orientation="portrait" horizontalDpi="4294967293" r:id="rId1"/>
  <headerFooter>
    <oddHeader>&amp;L&amp;"Tahoma,Regular"&amp;12&amp;K000000Classification : &amp;K0000FFInternal</oddHeader>
    <oddFooter>&amp;L&amp;"Tahoma,Regular"&amp;12&amp;K000000Classification : &amp;K0000FFInternal</oddFooter>
    <evenHeader>&amp;L&amp;"Tahoma,Regular"&amp;12&amp;K000000Classification : &amp;K0000FFInternal</evenHeader>
    <evenFooter>&amp;L&amp;"Tahoma,Regular"&amp;12&amp;K000000Classification : &amp;K0000FFInternal</evenFooter>
    <firstHeader>&amp;L&amp;"Tahoma,Regular"&amp;12&amp;K000000Classification : &amp;K0000FFInternal</firstHeader>
    <firstFooter>&amp;L&amp;"Tahoma,Regular"&amp;12&amp;K000000Classification : &amp;K0000FFInternal</first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203</vt:i4>
      </vt:variant>
    </vt:vector>
  </HeadingPairs>
  <TitlesOfParts>
    <vt:vector size="204" baseType="lpstr">
      <vt:lpstr>WSLS</vt:lpstr>
      <vt:lpstr>XDO_?ASSET_TYPE_MM?</vt:lpstr>
      <vt:lpstr>XDO_?AUM?</vt:lpstr>
      <vt:lpstr>XDO_?FUND_OBJECTIVE?</vt:lpstr>
      <vt:lpstr>XDO_?HEADER?</vt:lpstr>
      <vt:lpstr>XDO_?ISIN_ALT?</vt:lpstr>
      <vt:lpstr>XDO_?ISIN_DEBT_A?</vt:lpstr>
      <vt:lpstr>XDO_?ISIN_DEBT_B?</vt:lpstr>
      <vt:lpstr>XDO_?ISIN_DEBT_C?</vt:lpstr>
      <vt:lpstr>XDO_?ISIN_DEBT_D?</vt:lpstr>
      <vt:lpstr>XDO_?ISIN_DRV?</vt:lpstr>
      <vt:lpstr>XDO_?ISIN_EQU?</vt:lpstr>
      <vt:lpstr>XDO_?ISIN_EQU_NON?</vt:lpstr>
      <vt:lpstr>XDO_?ISIN_ETF?</vt:lpstr>
      <vt:lpstr>XDO_?ISIN_FD?</vt:lpstr>
      <vt:lpstr>XDO_?ISIN_IRS?</vt:lpstr>
      <vt:lpstr>XDO_?ISIN_IVT?</vt:lpstr>
      <vt:lpstr>XDO_?ISIN_MFU?</vt:lpstr>
      <vt:lpstr>XDO_?ISIN_MM?</vt:lpstr>
      <vt:lpstr>XDO_?ISIN_OTHERS?</vt:lpstr>
      <vt:lpstr>XDO_?ISIN_PRF?</vt:lpstr>
      <vt:lpstr>XDO_?ISIN_RET?</vt:lpstr>
      <vt:lpstr>XDO_?ISIN_RR?</vt:lpstr>
      <vt:lpstr>XDO_?ISIN_TREP?</vt:lpstr>
      <vt:lpstr>XDO_?ISSUER_NAME_ALT?</vt:lpstr>
      <vt:lpstr>XDO_?ISSUER_NAME_DEBT_A?</vt:lpstr>
      <vt:lpstr>XDO_?ISSUER_NAME_DEBT_B?</vt:lpstr>
      <vt:lpstr>XDO_?ISSUER_NAME_DEBT_C?</vt:lpstr>
      <vt:lpstr>XDO_?ISSUER_NAME_DEBT_D?</vt:lpstr>
      <vt:lpstr>XDO_?ISSUER_NAME_DRV?</vt:lpstr>
      <vt:lpstr>XDO_?ISSUER_NAME_EQU?</vt:lpstr>
      <vt:lpstr>XDO_?ISSUER_NAME_EQU_NON?</vt:lpstr>
      <vt:lpstr>XDO_?ISSUER_NAME_ETF?</vt:lpstr>
      <vt:lpstr>XDO_?ISSUER_NAME_FD?</vt:lpstr>
      <vt:lpstr>XDO_?ISSUER_NAME_IRS?</vt:lpstr>
      <vt:lpstr>XDO_?ISSUER_NAME_IVT?</vt:lpstr>
      <vt:lpstr>XDO_?ISSUER_NAME_MFU?</vt:lpstr>
      <vt:lpstr>XDO_?ISSUER_NAME_MM?</vt:lpstr>
      <vt:lpstr>XDO_?ISSUER_NAME_OTHERS?</vt:lpstr>
      <vt:lpstr>XDO_?ISSUER_NAME_PRF?</vt:lpstr>
      <vt:lpstr>XDO_?ISSUER_NAME_RET?</vt:lpstr>
      <vt:lpstr>XDO_?ISSUER_NAME_RR?</vt:lpstr>
      <vt:lpstr>XDO_?ISSUER_NAME_TREP?</vt:lpstr>
      <vt:lpstr>XDO_?MARKET_VALUE_ALT?</vt:lpstr>
      <vt:lpstr>XDO_?MARKET_VALUE_DEBT_A?</vt:lpstr>
      <vt:lpstr>XDO_?MARKET_VALUE_DEBT_B?</vt:lpstr>
      <vt:lpstr>XDO_?MARKET_VALUE_DEBT_C?</vt:lpstr>
      <vt:lpstr>XDO_?MARKET_VALUE_DEBT_D?</vt:lpstr>
      <vt:lpstr>XDO_?MARKET_VALUE_DRV?</vt:lpstr>
      <vt:lpstr>XDO_?MARKET_VALUE_EQU?</vt:lpstr>
      <vt:lpstr>XDO_?MARKET_VALUE_EQU_NON?</vt:lpstr>
      <vt:lpstr>XDO_?MARKET_VALUE_ETF?</vt:lpstr>
      <vt:lpstr>XDO_?MARKET_VALUE_FD?</vt:lpstr>
      <vt:lpstr>XDO_?MARKET_VALUE_IRS?</vt:lpstr>
      <vt:lpstr>XDO_?MARKET_VALUE_IVT?</vt:lpstr>
      <vt:lpstr>XDO_?MARKET_VALUE_MFU?</vt:lpstr>
      <vt:lpstr>XDO_?MARKET_VALUE_MM?</vt:lpstr>
      <vt:lpstr>XDO_?MARKET_VALUE_OTHERS?</vt:lpstr>
      <vt:lpstr>XDO_?MARKET_VALUE_PRF?</vt:lpstr>
      <vt:lpstr>XDO_?MARKET_VALUE_RET?</vt:lpstr>
      <vt:lpstr>XDO_?MARKET_VALUE_RR?</vt:lpstr>
      <vt:lpstr>XDO_?MARKET_VALUE_TREP?</vt:lpstr>
      <vt:lpstr>XDO_?MATURITY_DATE_DEBT_A?</vt:lpstr>
      <vt:lpstr>XDO_?MATURITY_DATE_DEBT_B?</vt:lpstr>
      <vt:lpstr>XDO_?MATURITY_DATE_DEBT_C?</vt:lpstr>
      <vt:lpstr>XDO_?MATURITY_DATE_DEBT_D?</vt:lpstr>
      <vt:lpstr>XDO_?MATURITY_DATE_DRV?</vt:lpstr>
      <vt:lpstr>XDO_?MATURITY_DATE_EQU?</vt:lpstr>
      <vt:lpstr>XDO_?MATURITY_DATE_EQU_NON?</vt:lpstr>
      <vt:lpstr>XDO_?MATURITY_DATE_ETF?</vt:lpstr>
      <vt:lpstr>XDO_?MATURITY_DATE_FD?</vt:lpstr>
      <vt:lpstr>XDO_?MATURITY_DATE_IVT?</vt:lpstr>
      <vt:lpstr>XDO_?MATURITY_DATE_MFU?</vt:lpstr>
      <vt:lpstr>XDO_?MATURITY_DATE_MM?</vt:lpstr>
      <vt:lpstr>XDO_?MATURITY_DATE_RET?</vt:lpstr>
      <vt:lpstr>XDO_?MATURITY_DATE_RR?</vt:lpstr>
      <vt:lpstr>XDO_?MATURITY_DATE_TREP?</vt:lpstr>
      <vt:lpstr>XDO_?NAV_GROUP?</vt:lpstr>
      <vt:lpstr>XDO_?PER_NET_ASST_ALT?</vt:lpstr>
      <vt:lpstr>XDO_?PER_NET_ASST_DEBT_A?</vt:lpstr>
      <vt:lpstr>XDO_?PER_NET_ASST_DEBT_B?</vt:lpstr>
      <vt:lpstr>XDO_?PER_NET_ASST_DEBT_C?</vt:lpstr>
      <vt:lpstr>XDO_?PER_NET_ASST_DEBT_D?</vt:lpstr>
      <vt:lpstr>XDO_?PER_NET_ASST_DRV?</vt:lpstr>
      <vt:lpstr>XDO_?PER_NET_ASST_EQU?</vt:lpstr>
      <vt:lpstr>XDO_?PER_NET_ASST_EQU_NON?</vt:lpstr>
      <vt:lpstr>XDO_?PER_NET_ASST_ETF?</vt:lpstr>
      <vt:lpstr>XDO_?PER_NET_ASST_FD?</vt:lpstr>
      <vt:lpstr>XDO_?PER_NET_ASST_IRS?</vt:lpstr>
      <vt:lpstr>XDO_?PER_NET_ASST_IVT?</vt:lpstr>
      <vt:lpstr>XDO_?PER_NET_ASST_MFU?</vt:lpstr>
      <vt:lpstr>XDO_?PER_NET_ASST_MM?</vt:lpstr>
      <vt:lpstr>XDO_?PER_NET_ASST_OTHERS?</vt:lpstr>
      <vt:lpstr>XDO_?PER_NET_ASST_PRF?</vt:lpstr>
      <vt:lpstr>XDO_?PER_NET_ASST_RET?</vt:lpstr>
      <vt:lpstr>XDO_?PER_NET_ASST_RR?</vt:lpstr>
      <vt:lpstr>XDO_?PER_NET_ASST_TREP?</vt:lpstr>
      <vt:lpstr>XDO_?QUANTITY_ALT?</vt:lpstr>
      <vt:lpstr>XDO_?QUANTITY_DEBT_A?</vt:lpstr>
      <vt:lpstr>XDO_?QUANTITY_DEBT_B?</vt:lpstr>
      <vt:lpstr>XDO_?QUANTITY_DEBT_C?</vt:lpstr>
      <vt:lpstr>XDO_?QUANTITY_DEBT_D?</vt:lpstr>
      <vt:lpstr>XDO_?QUANTITY_DRV?</vt:lpstr>
      <vt:lpstr>XDO_?QUANTITY_EQU?</vt:lpstr>
      <vt:lpstr>XDO_?QUANTITY_EQU_NON?</vt:lpstr>
      <vt:lpstr>XDO_?QUANTITY_ETF?</vt:lpstr>
      <vt:lpstr>XDO_?QUANTITY_FD?</vt:lpstr>
      <vt:lpstr>XDO_?QUANTITY_IVT?</vt:lpstr>
      <vt:lpstr>XDO_?QUANTITY_MFU?</vt:lpstr>
      <vt:lpstr>XDO_?QUANTITY_MM?</vt:lpstr>
      <vt:lpstr>XDO_?QUANTITY_OTHERS?</vt:lpstr>
      <vt:lpstr>XDO_?QUANTITY_PRF?</vt:lpstr>
      <vt:lpstr>XDO_?QUANTITY_RET?</vt:lpstr>
      <vt:lpstr>XDO_?QUANTITY_RR?</vt:lpstr>
      <vt:lpstr>XDO_?QUANTITY_TREP?</vt:lpstr>
      <vt:lpstr>XDO_?RATING_INDUSTRY_ALT?</vt:lpstr>
      <vt:lpstr>XDO_?RATING_INDUSTRY_DEBT_A?</vt:lpstr>
      <vt:lpstr>XDO_?RATING_INDUSTRY_DEBT_B?</vt:lpstr>
      <vt:lpstr>XDO_?RATING_INDUSTRY_DEBT_C?</vt:lpstr>
      <vt:lpstr>XDO_?RATING_INDUSTRY_DEBT_D?</vt:lpstr>
      <vt:lpstr>XDO_?RATING_INDUSTRY_DRV?</vt:lpstr>
      <vt:lpstr>XDO_?RATING_INDUSTRY_EQU?</vt:lpstr>
      <vt:lpstr>XDO_?RATING_INDUSTRY_EQU_NON?</vt:lpstr>
      <vt:lpstr>XDO_?RATING_INDUSTRY_ETF?</vt:lpstr>
      <vt:lpstr>XDO_?RATING_INDUSTRY_FD?</vt:lpstr>
      <vt:lpstr>XDO_?RATING_INDUSTRY_IRS?</vt:lpstr>
      <vt:lpstr>XDO_?RATING_INDUSTRY_IVT?</vt:lpstr>
      <vt:lpstr>XDO_?RATING_INDUSTRY_MFU?</vt:lpstr>
      <vt:lpstr>XDO_?RATING_INDUSTRY_MM?</vt:lpstr>
      <vt:lpstr>XDO_?RATING_INDUSTRY_OTHERS?</vt:lpstr>
      <vt:lpstr>XDO_?RATING_INDUSTRY_PRF?</vt:lpstr>
      <vt:lpstr>XDO_?RATING_INDUSTRY_RET?</vt:lpstr>
      <vt:lpstr>XDO_?RATING_INDUSTRY_RR?</vt:lpstr>
      <vt:lpstr>XDO_?RATING_INDUSTRY_TREP?</vt:lpstr>
      <vt:lpstr>XDO_?TX_GT_MARKET_VALUE_DEBT_ALL?</vt:lpstr>
      <vt:lpstr>XDO_?TX_GT_MARKET_VALUE_EQU_ALL?</vt:lpstr>
      <vt:lpstr>XDO_?TX_GT_MARKET_VALUE_GRAND?</vt:lpstr>
      <vt:lpstr>XDO_?TX_GT_MARKET_VALUE_MM_ALL?</vt:lpstr>
      <vt:lpstr>XDO_?TX_GT_PER_NET_ASSET_DEBT_ALL?</vt:lpstr>
      <vt:lpstr>XDO_?TX_GT_PER_NET_ASST_EQU_ALL?</vt:lpstr>
      <vt:lpstr>XDO_?TX_GT_PER_NET_ASST_GRAND?</vt:lpstr>
      <vt:lpstr>XDO_?TX_GT_PER_NET_ASST_MM_ALL?</vt:lpstr>
      <vt:lpstr>XDO_?TX_MKT_VAL_DEBT_B_HDN?</vt:lpstr>
      <vt:lpstr>XDO_?TX_MKT_VAL_DEBT_C_HDN?</vt:lpstr>
      <vt:lpstr>XDO_?TX_MKT_VAL_DEBT_D_HDN?</vt:lpstr>
      <vt:lpstr>XDO_?TX_MKT_VAL_EQU_HDN?</vt:lpstr>
      <vt:lpstr>XDO_?TX_MKT_VAL_EQU_NON_HDN?</vt:lpstr>
      <vt:lpstr>XDO_?TX_MKT_VAL_IVT_HDN?</vt:lpstr>
      <vt:lpstr>XDO_?TX_MKT_VAL_RET_HDN?</vt:lpstr>
      <vt:lpstr>XDO_?TX_PER_NET_DEBT_B_HDN?</vt:lpstr>
      <vt:lpstr>XDO_?TX_PER_NET_DEBT_C_HDN?</vt:lpstr>
      <vt:lpstr>XDO_?TX_PER_NET_DEBT_D_HDN?</vt:lpstr>
      <vt:lpstr>XDO_?TX_PER_NET_EQU_HDN?</vt:lpstr>
      <vt:lpstr>XDO_?TX_PER_NET_EQU_NON_HDN?</vt:lpstr>
      <vt:lpstr>XDO_?TX_PER_NET_IVT_HDN?</vt:lpstr>
      <vt:lpstr>XDO_?TX_PER_NET_RET_HDN?</vt:lpstr>
      <vt:lpstr>XDO_?TX_ST_MARKET_VALUE_ALT?</vt:lpstr>
      <vt:lpstr>XDO_?TX_ST_MARKET_VALUE_DRV?</vt:lpstr>
      <vt:lpstr>XDO_?TX_ST_MARKET_VALUE_EQU?</vt:lpstr>
      <vt:lpstr>XDO_?TX_ST_MARKET_VALUE_ETF?</vt:lpstr>
      <vt:lpstr>XDO_?TX_ST_MARKET_VALUE_FD?</vt:lpstr>
      <vt:lpstr>XDO_?TX_ST_MARKET_VALUE_IRS?</vt:lpstr>
      <vt:lpstr>XDO_?TX_ST_MARKET_VALUE_MFU?</vt:lpstr>
      <vt:lpstr>XDO_?TX_ST_MARKET_VALUE_MM?</vt:lpstr>
      <vt:lpstr>XDO_?TX_ST_MARKET_VALUE_TREP?</vt:lpstr>
      <vt:lpstr>XDO_?TX_ST_PER_NET_ASST_ALT?</vt:lpstr>
      <vt:lpstr>XDO_?TX_ST_PER_NET_ASST_DRV?</vt:lpstr>
      <vt:lpstr>XDO_?TX_ST_PER_NET_ASST_EQU?</vt:lpstr>
      <vt:lpstr>XDO_?TX_ST_PER_NET_ASST_ETF?</vt:lpstr>
      <vt:lpstr>XDO_?TX_ST_PER_NET_ASST_FD?</vt:lpstr>
      <vt:lpstr>XDO_?TX_ST_PER_NET_ASST_IRS?</vt:lpstr>
      <vt:lpstr>XDO_?TX_ST_PER_NET_ASST_MFU?</vt:lpstr>
      <vt:lpstr>XDO_?TX_ST_PER_NET_ASST_MM?</vt:lpstr>
      <vt:lpstr>XDO_?TX_ST_PER_NET_ASST_TREP?</vt:lpstr>
      <vt:lpstr>XDO_?YIELDS_ALT?</vt:lpstr>
      <vt:lpstr>XDO_?YIELDS_DEBT_A?</vt:lpstr>
      <vt:lpstr>XDO_?YIELDS_DEBT_B?</vt:lpstr>
      <vt:lpstr>XDO_?YIELDS_DEBT_C?</vt:lpstr>
      <vt:lpstr>XDO_?YIELDS_DEBT_D?</vt:lpstr>
      <vt:lpstr>XDO_?YIELDS_DRV?</vt:lpstr>
      <vt:lpstr>XDO_?YIELDS_EQU?</vt:lpstr>
      <vt:lpstr>XDO_?YIELDS_EQU_NON?</vt:lpstr>
      <vt:lpstr>XDO_?YIELDS_ETF?</vt:lpstr>
      <vt:lpstr>XDO_?YIELDS_FD?</vt:lpstr>
      <vt:lpstr>XDO_?YIELDS_IRS?</vt:lpstr>
      <vt:lpstr>XDO_?YIELDS_IVT?</vt:lpstr>
      <vt:lpstr>XDO_?YIELDS_MFU?</vt:lpstr>
      <vt:lpstr>XDO_?YIELDS_MM?</vt:lpstr>
      <vt:lpstr>XDO_?YIELDS_OTHERS?</vt:lpstr>
      <vt:lpstr>XDO_?YIELDS_PRF?</vt:lpstr>
      <vt:lpstr>XDO_?YIELDS_RET?</vt:lpstr>
      <vt:lpstr>XDO_?YIELDS_RR?</vt:lpstr>
      <vt:lpstr>XDO_?YIELDS_TREP?</vt:lpstr>
      <vt:lpstr>XDO_GROUP_?G_15?</vt:lpstr>
      <vt:lpstr>XDO_GROUP_?G_17?</vt:lpstr>
      <vt:lpstr>XDO_GROUP_?G_20?</vt:lpstr>
      <vt:lpstr>XDO_GROUP_?G_21?</vt:lpstr>
      <vt:lpstr>XDO_GROUP_?G_23?</vt:lpstr>
      <vt:lpstr>XDO_GROUP_?G_25?</vt:lpstr>
      <vt:lpstr>XDO_GROUP_?G_27?</vt:lpstr>
      <vt:lpstr>XDO_GROUP_?G_3?</vt:lpstr>
      <vt:lpstr>XDO_GROUP_?G_31?</vt:lpstr>
      <vt:lpstr>XDO_GROUP_?G_41?</vt:lpstr>
      <vt:lpstr>XDO_GROUP_?G_7?</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Bharat Khurana</dc:creator>
  <cp:lastModifiedBy>Bharat Khurana</cp:lastModifiedBy>
  <dcterms:created xsi:type="dcterms:W3CDTF">2026-10-09T10:53:04Z</dcterms:created>
  <dcterms:modified xsi:type="dcterms:W3CDTF">2026-10-09T11:02:24Z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d7d2745-003e-433e-b5cd-b2b3fe3e86a1_Enabled">
    <vt:lpwstr>true</vt:lpwstr>
  </property>
  <property fmtid="{D5CDD505-2E9C-101B-9397-08002B2CF9AE}" pid="3" name="MSIP_Label_7d7d2745-003e-433e-b5cd-b2b3fe3e86a1_SetDate">
    <vt:lpwstr>2026-10-09T10:53:06Z</vt:lpwstr>
  </property>
  <property fmtid="{D5CDD505-2E9C-101B-9397-08002B2CF9AE}" pid="4" name="MSIP_Label_7d7d2745-003e-433e-b5cd-b2b3fe3e86a1_Method">
    <vt:lpwstr>Standard</vt:lpwstr>
  </property>
  <property fmtid="{D5CDD505-2E9C-101B-9397-08002B2CF9AE}" pid="5" name="MSIP_Label_7d7d2745-003e-433e-b5cd-b2b3fe3e86a1_Name">
    <vt:lpwstr>Critical File</vt:lpwstr>
  </property>
  <property fmtid="{D5CDD505-2E9C-101B-9397-08002B2CF9AE}" pid="6" name="MSIP_Label_7d7d2745-003e-433e-b5cd-b2b3fe3e86a1_SiteId">
    <vt:lpwstr>6f7d7323-8869-4b01-9403-9d184d373232</vt:lpwstr>
  </property>
  <property fmtid="{D5CDD505-2E9C-101B-9397-08002B2CF9AE}" pid="7" name="MSIP_Label_7d7d2745-003e-433e-b5cd-b2b3fe3e86a1_ActionId">
    <vt:lpwstr>ddef5b4f-45b2-4bbb-af8d-02dcc4cbd535</vt:lpwstr>
  </property>
  <property fmtid="{D5CDD505-2E9C-101B-9397-08002B2CF9AE}" pid="8" name="MSIP_Label_7d7d2745-003e-433e-b5cd-b2b3fe3e86a1_ContentBits">
    <vt:lpwstr>0</vt:lpwstr>
  </property>
  <property fmtid="{D5CDD505-2E9C-101B-9397-08002B2CF9AE}" pid="9" name="MSIP_Label_7d7d2745-003e-433e-b5cd-b2b3fe3e86a1_Tag">
    <vt:lpwstr>10, 3, 0, 1</vt:lpwstr>
  </property>
</Properties>
</file>