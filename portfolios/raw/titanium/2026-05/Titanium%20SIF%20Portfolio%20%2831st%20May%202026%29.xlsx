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2.xml" ContentType="application/vnd.openxmlformats-officedocument.drawing+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anna\Desktop\"/>
    </mc:Choice>
  </mc:AlternateContent>
  <xr:revisionPtr revIDLastSave="0" documentId="8_{0ECFFA6B-F6C8-47AF-9CE3-31E284993047}" xr6:coauthVersionLast="47" xr6:coauthVersionMax="47" xr10:uidLastSave="{00000000-0000-0000-0000-000000000000}"/>
  <bookViews>
    <workbookView xWindow="-110" yWindow="-110" windowWidth="19420" windowHeight="10420" activeTab="1" xr2:uid="{336CCF82-D5BD-4FFD-A657-73BE77E4C77A}"/>
  </bookViews>
  <sheets>
    <sheet name="Titanium Hybrid Long Short Fund" sheetId="1" r:id="rId1"/>
    <sheet name="Titanium Equity Long Short Fund" sheetId="2" r:id="rId2"/>
  </sheets>
  <definedNames>
    <definedName name="_xlnm._FilterDatabase" localSheetId="0" hidden="1">'Titanium Hybrid Long Short Fund'!$A$95:$H$103</definedName>
    <definedName name="TBAF_Debt_Related_1_1" localSheetId="1">'Titanium Equity Long Short Fund'!$B$78:$E$78</definedName>
    <definedName name="TBAF_Debt_Related_1_1" localSheetId="0">'Titanium Hybrid Long Short Fund'!$B$114:$E$116</definedName>
    <definedName name="TBAF_GOV_SEC_1" localSheetId="1">'Titanium Equity Long Short Fund'!$A$74:$E$76</definedName>
    <definedName name="TBAF_GOV_SEC_1" localSheetId="0">'Titanium Hybrid Long Short Fund'!$A$108:$E$111</definedName>
    <definedName name="TBAF_MM_1" localSheetId="1">'Titanium Equity Long Short Fund'!$B$80:$E$80</definedName>
    <definedName name="TBAF_MM_1" localSheetId="0">'Titanium Hybrid Long Short Fund'!$B$120:$E$121</definedName>
    <definedName name="THLSFSIFNAV_1" localSheetId="1">'Titanium Equity Long Short Fund'!$A$94:$A$97</definedName>
    <definedName name="THLSFSIFNAV_1" localSheetId="0">'Titanium Hybrid Long Short Fund'!$A$139:$A$142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2" l="1"/>
  <c r="H84" i="2" s="1"/>
  <c r="H85" i="2" s="1"/>
  <c r="G82" i="2"/>
  <c r="G84" i="2" s="1"/>
  <c r="G85" i="2" s="1"/>
  <c r="G63" i="2"/>
  <c r="H58" i="2"/>
  <c r="H63" i="2" s="1"/>
  <c r="G58" i="2"/>
  <c r="F167" i="1" l="1"/>
  <c r="H125" i="1" l="1"/>
  <c r="G125" i="1"/>
  <c r="H119" i="1"/>
  <c r="G119" i="1"/>
  <c r="H113" i="1"/>
  <c r="G113" i="1"/>
  <c r="H104" i="1"/>
  <c r="G104" i="1"/>
  <c r="H93" i="1"/>
  <c r="G93" i="1"/>
  <c r="H61" i="1"/>
  <c r="G61" i="1"/>
  <c r="H57" i="1"/>
  <c r="G57" i="1"/>
  <c r="H65" i="1" l="1"/>
  <c r="G65" i="1"/>
  <c r="G127" i="1" s="1"/>
  <c r="G128" i="1" s="1"/>
  <c r="G106" i="1"/>
  <c r="H106" i="1"/>
  <c r="H127" i="1" l="1"/>
  <c r="H12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EE9939-79B1-439D-AE83-C206C3B35B48}" name="Connection417111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BAF' group by app_refer,value_date _x000d_) f  on f.app_refer=a.deal_ID _x000d_WHERE del_date&lt;='31 Dec 2025' AND mat_date &gt;'31 Dec 2025' and  deal_stat &lt;&gt; 'MAT' and a.rectype='L'  and a.scheme='TBAF')_x000d_order by 6 desc"/>
  </connection>
  <connection id="2" xr16:uid="{25FACEE2-83D3-47F5-926B-1EC022CF165F}" name="Connection4171111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BAF' group by app_refer,value_date _x000d_) f  on f.app_refer=a.deal_ID _x000d_WHERE del_date&lt;='31 Dec 2025' AND mat_date &gt;'31 Dec 2025' and  deal_stat &lt;&gt; 'MAT' and a.rectype='L'  and a.scheme='TBAF')_x000d_order by 6 desc"/>
  </connection>
  <connection id="3" xr16:uid="{8922D55C-DE59-43F8-8859-F048CE90986D}" name="Connection418111111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05','06','07','09','11','12','14','25','29','34','18','52') and LISTED_Y_N='Y'  _x000d_and a.schclass='GLOBAL' and a.security is not null and a.UNITS&gt;0  and LAST_NET_ASSETS&gt;1 and f.schclass='GLOBAL' ) _x000d_where MKTVAL &gt; 0) order by 6 desc"/>
  </connection>
  <connection id="4" xr16:uid="{19156270-AA13-4A1C-9E47-5F9C4FA4440B}" name="Connection4181111111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05','06','07','09','11','12','14','25','29','34','18','52') and LISTED_Y_N='Y'  _x000d_and a.schclass='GLOBAL' and a.security is not null and a.UNITS&gt;0  and LAST_NET_ASSETS&gt;1 and f.schclass='GLOBAL' ) _x000d_where MKTVAL &gt; 0) order by 6 desc"/>
  </connection>
  <connection id="5" xr16:uid="{9F4E654B-5714-4292-A79B-F8BA7B100AE5}" name="Connection422111111"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and LAST_NET_ASSETS&gt;1 and f.SCHCLASS='GLOBAL'_x000d_and WEEKEND_DT='31 Dec 2025' and a.ASSET_TYPE in('16','17','19','20','22','03','15'))  _x000d_where MKTVAL &gt; 0 order by 6 desc"/>
  </connection>
  <connection id="6" xr16:uid="{C983E922-45C0-40EA-AD27-B7452DE4E72C}" name="Connection4221111111"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and LAST_NET_ASSETS&gt;1 and f.SCHCLASS='GLOBAL'_x000d_and WEEKEND_DT='31 Dec 2025' and a.ASSET_TYPE in('16','17','19','20','22','03','15'))  _x000d_where MKTVAL &gt; 0 order by 6 desc"/>
  </connection>
  <connection id="7" xr16:uid="{F054C53B-CA8F-44A5-A585-37366D650094}" name="Connection954011" type="1" refreshedVersion="8" background="1" saveData="1">
    <dbPr connection="DRIVER={Microsoft ODBC for Oracle};UID=TATADB;" command="SELECT 'NAV AS ON '||A.WEEKEND_DT||': RS.'||round(A.LAST_NET_ASSETS/A.LAST_UNITS_OUTS,2)||' ('||C.NAME||')' _x000d_FROM tatamfplus.weeknav A, tatamfplus.basescheme B,tatamfplus.SCHCLASS C _x000d_WHERE A.WEEKEND_DT in ('30 Jan 2026') AND A.SCHEME ='THLS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05EFA8F2-5B92-439F-B66E-2A074275A187}" name="Connection9540111" type="1" refreshedVersion="8" background="1" saveData="1">
    <dbPr connection="DRIVER={Microsoft ODBC for Oracle};UID=TATADB;" command="SELECT 'NAV AS ON '||A.WEEKEND_DT||': RS.'||round(A.LAST_NET_ASSETS/A.LAST_UNITS_OUTS,2)||' ('||C.NAME||')' _x000d_FROM tatamfplus.weeknav A, tatamfplus.basescheme B,tatamfplus.SCHCLASS C _x000d_WHERE A.WEEKEND_DT in ('30 Jan 2026') AND A.SCHEME ='THLS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<sst xmlns="http://schemas.openxmlformats.org/spreadsheetml/2006/main" count="812" uniqueCount="342">
  <si>
    <t>Titanium Hybrid Long-short Fund</t>
  </si>
  <si>
    <t>(Interval investment strategy investing in equity and debt securities, including limited short exposure in equity and debt through derivatives.)</t>
  </si>
  <si>
    <t>This product is suitable for investors who are seeking*:</t>
  </si>
  <si>
    <t xml:space="preserve">• Medium to long term capital appreciation </t>
  </si>
  <si>
    <t>• Investing in equity and equity related instruments as well as debt and money market instruments, including limited short exposure in equity and debt through derivatives.</t>
  </si>
  <si>
    <t>*Investors should consult their financial advisors if in doubt about whether the product is suitable for them</t>
  </si>
  <si>
    <t>NAME OF THE INSTRUMENT</t>
  </si>
  <si>
    <t>YIELD ( IN % )</t>
  </si>
  <si>
    <t>INDUSTRY/RATING</t>
  </si>
  <si>
    <t>ISIN CODE</t>
  </si>
  <si>
    <t>QUANTITY</t>
  </si>
  <si>
    <t>% to NAV</t>
  </si>
  <si>
    <t>EQUITY &amp; EQUITY RELATED</t>
  </si>
  <si>
    <t>A) LISTED/AWAITING LISTING ON STOCK EXCHANGES</t>
  </si>
  <si>
    <t>ICICI BANK LTD.</t>
  </si>
  <si>
    <t>Private Sector Bank</t>
  </si>
  <si>
    <t>INE090A01021</t>
  </si>
  <si>
    <t>HDFC BANK LTD.</t>
  </si>
  <si>
    <t>INE040A01034</t>
  </si>
  <si>
    <t>RELIANCE INDUSTRIES LTD.</t>
  </si>
  <si>
    <t>Refineries &amp; Marketing</t>
  </si>
  <si>
    <t>INE002A01018</t>
  </si>
  <si>
    <t>MAHINDRA &amp; MAHINDRA LTD.</t>
  </si>
  <si>
    <t>Passenger Cars &amp; Utility Vehicles</t>
  </si>
  <si>
    <t>INE101A01026</t>
  </si>
  <si>
    <t>LARSEN &amp; TOUBRO LTD.</t>
  </si>
  <si>
    <t>Civil Construction</t>
  </si>
  <si>
    <t>INE018A01030</t>
  </si>
  <si>
    <t>BHARTI AIRTEL LTD.</t>
  </si>
  <si>
    <t>Telecom - Cellular &amp; Fixed line services</t>
  </si>
  <si>
    <t>INE397D01024</t>
  </si>
  <si>
    <t>SUN PHARMACEUTICAL INDUSTRIES LTD.</t>
  </si>
  <si>
    <t>Pharmaceuticals</t>
  </si>
  <si>
    <t>INE044A01036</t>
  </si>
  <si>
    <t>AXIS BANK LTD.</t>
  </si>
  <si>
    <t>INE238A01034</t>
  </si>
  <si>
    <t>LIFE INSURANCE CORPORATION OF INDIA</t>
  </si>
  <si>
    <t>Life Insurance</t>
  </si>
  <si>
    <t>INE0J1Y01017</t>
  </si>
  <si>
    <t>ITC LTD.</t>
  </si>
  <si>
    <t>Diversified FMCG</t>
  </si>
  <si>
    <t>INE154A01025</t>
  </si>
  <si>
    <t>NTPC Ltd.</t>
  </si>
  <si>
    <t>Power Generation</t>
  </si>
  <si>
    <t>INE733E01010</t>
  </si>
  <si>
    <t>OMNITECH ENGINEERING LTD</t>
  </si>
  <si>
    <t>INE0UH301010</t>
  </si>
  <si>
    <t>TATA COMMUNICATIONS LTD.</t>
  </si>
  <si>
    <t>INE151A01013</t>
  </si>
  <si>
    <t>STATE BANK OF INDIA</t>
  </si>
  <si>
    <t>Public Sector Bank</t>
  </si>
  <si>
    <t>INE062A01020</t>
  </si>
  <si>
    <t>SHREE CEMENT LTD.</t>
  </si>
  <si>
    <t>Cement &amp; Cement Products</t>
  </si>
  <si>
    <t>INE070A01015</t>
  </si>
  <si>
    <t>AMBUJA CEMENTS LTD.</t>
  </si>
  <si>
    <t>INE079A01024</t>
  </si>
  <si>
    <t>INTERGLOBE AVIATION LTD.</t>
  </si>
  <si>
    <t>Airline</t>
  </si>
  <si>
    <t>INE646L01027</t>
  </si>
  <si>
    <t>Oil Exploration &amp; Production</t>
  </si>
  <si>
    <t>MARICO LTD.</t>
  </si>
  <si>
    <t>Edible Oil</t>
  </si>
  <si>
    <t>INE196A01026</t>
  </si>
  <si>
    <t>HDFC LIFE INSURANCE CO. LTD.</t>
  </si>
  <si>
    <t>INE795G01014</t>
  </si>
  <si>
    <t>PAGE INDUSTRIES LTD.</t>
  </si>
  <si>
    <t>Garments &amp; Apparels</t>
  </si>
  <si>
    <t>INE761H01022</t>
  </si>
  <si>
    <t>DR. LAL PATH LABS LTD.</t>
  </si>
  <si>
    <t>Healthcare Service Provider</t>
  </si>
  <si>
    <t>INE600L01024</t>
  </si>
  <si>
    <t>INDUSIND BANK LTD.</t>
  </si>
  <si>
    <t>INE095A01012</t>
  </si>
  <si>
    <t>VEDANTA LTD.</t>
  </si>
  <si>
    <t>Diversified Metals</t>
  </si>
  <si>
    <t>INE205A01025</t>
  </si>
  <si>
    <t>HAVELLS INDIA LTD.</t>
  </si>
  <si>
    <t>Consumer Electronics</t>
  </si>
  <si>
    <t>INE176B01034</t>
  </si>
  <si>
    <t>BRITANNIA INDUSTRIES LTD.</t>
  </si>
  <si>
    <t>Packaged Foods</t>
  </si>
  <si>
    <t>INE216A01030</t>
  </si>
  <si>
    <t>TATA CHEMICALS LTD.</t>
  </si>
  <si>
    <t>Commodity Chemicals</t>
  </si>
  <si>
    <t>INE092A01019</t>
  </si>
  <si>
    <t>TATA MOTORS PASSENGER VEHICLES LTD.</t>
  </si>
  <si>
    <t>INE155A01022</t>
  </si>
  <si>
    <t>PRESTIGE ESTATES PROJECTS LTD.</t>
  </si>
  <si>
    <t>Residential, Commercial Projects</t>
  </si>
  <si>
    <t>INE811K01011</t>
  </si>
  <si>
    <t>MAX HEALTHCARE INSTITUTE LTD.</t>
  </si>
  <si>
    <t>Hospital</t>
  </si>
  <si>
    <t>INE027H01010</t>
  </si>
  <si>
    <t>JINDAL STEEL LTD.</t>
  </si>
  <si>
    <t>Iron &amp; Steel</t>
  </si>
  <si>
    <t>INE749A01030</t>
  </si>
  <si>
    <t>SONA BLW PRECISION FORGINGS LTD.</t>
  </si>
  <si>
    <t>Auto Components &amp; Equipments</t>
  </si>
  <si>
    <t>INE073K01018</t>
  </si>
  <si>
    <t>GRINDWELL NORTON LTD.</t>
  </si>
  <si>
    <t>Abrasives &amp; Bearings</t>
  </si>
  <si>
    <t>INE536A01023</t>
  </si>
  <si>
    <t>Paints</t>
  </si>
  <si>
    <t>INE133A01011</t>
  </si>
  <si>
    <t>OIL INDIA LTD.</t>
  </si>
  <si>
    <t>INE274J01014</t>
  </si>
  <si>
    <t>INFO EDGE (INDIA) LTD.</t>
  </si>
  <si>
    <t>Internet &amp; Catalogue Retail</t>
  </si>
  <si>
    <t>INE663F01032</t>
  </si>
  <si>
    <t>MPHASIS LTD.</t>
  </si>
  <si>
    <t>Computers - Software &amp; Consulting</t>
  </si>
  <si>
    <t>INE356A01018</t>
  </si>
  <si>
    <t>INDIAN OIL CORPORATION LTD.</t>
  </si>
  <si>
    <t>INE242A01010</t>
  </si>
  <si>
    <t>TVS HOLDINGS LTD.</t>
  </si>
  <si>
    <t>Investment Company</t>
  </si>
  <si>
    <t>INE105A01035</t>
  </si>
  <si>
    <t>SYNGENE INTERNATIONAL LTD.</t>
  </si>
  <si>
    <t>Healthcare Research, Analytics &amp; Technology</t>
  </si>
  <si>
    <t>INE398R01022</t>
  </si>
  <si>
    <t>CYIENT LTD.</t>
  </si>
  <si>
    <t>IT Enabled Services</t>
  </si>
  <si>
    <t>INE136B01020</t>
  </si>
  <si>
    <t>Real Estate Investment Trust</t>
  </si>
  <si>
    <t>BROOKFIELD INDIA REAL ESTATE TRUST</t>
  </si>
  <si>
    <t>INE0FDU25010</t>
  </si>
  <si>
    <t>EMBASSY OFFICE PARKS REIT</t>
  </si>
  <si>
    <t>INE041025011</t>
  </si>
  <si>
    <t>Sub Total</t>
  </si>
  <si>
    <t>TOTAL</t>
  </si>
  <si>
    <t>Derivatives</t>
  </si>
  <si>
    <t>(a) Index/Stock Future</t>
  </si>
  <si>
    <t>MARUTI SUZUKI INDIA LTD.</t>
  </si>
  <si>
    <t>Automobiles</t>
  </si>
  <si>
    <t>BANK OF BARODA</t>
  </si>
  <si>
    <t>Banks</t>
  </si>
  <si>
    <t>ULTRATECH CEMENT LTD.</t>
  </si>
  <si>
    <t>HERO MOTOCORP LTD.</t>
  </si>
  <si>
    <t>UNITED SPIRITS LTD.</t>
  </si>
  <si>
    <t>Beverages</t>
  </si>
  <si>
    <t>BPCL</t>
  </si>
  <si>
    <t>Petroleum Products</t>
  </si>
  <si>
    <t>Capital Markets</t>
  </si>
  <si>
    <t>Transport Services</t>
  </si>
  <si>
    <t>Realty</t>
  </si>
  <si>
    <t>SWIGGY LTD</t>
  </si>
  <si>
    <t>Retailing</t>
  </si>
  <si>
    <t>Insurance</t>
  </si>
  <si>
    <t>Consumer Durables</t>
  </si>
  <si>
    <t>Finance</t>
  </si>
  <si>
    <t>IT - Software</t>
  </si>
  <si>
    <t>FEDERAL BANK LTD.</t>
  </si>
  <si>
    <t>ETERNAL LTD.</t>
  </si>
  <si>
    <t>(b)Index / Stock Option</t>
  </si>
  <si>
    <t>Call Option</t>
  </si>
  <si>
    <t>Construction</t>
  </si>
  <si>
    <t>Telecom - Services</t>
  </si>
  <si>
    <t>DEBT INSTRUMENTS</t>
  </si>
  <si>
    <t>(i) Government Securities</t>
  </si>
  <si>
    <t>Goi - 7.02% (18/06/2031)</t>
  </si>
  <si>
    <t>SOVRN</t>
  </si>
  <si>
    <t>IN0020240076</t>
  </si>
  <si>
    <t>Sgs Madhya Pradesh 7.63% (04/03/2041)</t>
  </si>
  <si>
    <t>IN2120250468</t>
  </si>
  <si>
    <t>Government Securities Total</t>
  </si>
  <si>
    <t>(ii) Non-convertible Debentures/bonds</t>
  </si>
  <si>
    <t>**  07.89 % Tata Capital Ltd.</t>
  </si>
  <si>
    <t>CRISIL AAA</t>
  </si>
  <si>
    <t>INE306N07MX0</t>
  </si>
  <si>
    <t>**  08.20 % Adani Power Ltd.</t>
  </si>
  <si>
    <t>CRISIL AA</t>
  </si>
  <si>
    <t>INE814H07208</t>
  </si>
  <si>
    <t>**  08.85 % Muthoot Finance Ltd.</t>
  </si>
  <si>
    <t>CRISIL AA+</t>
  </si>
  <si>
    <t>INE414G07IS4</t>
  </si>
  <si>
    <t>**  07.51 % Small Indust Devlop Bank  Of India</t>
  </si>
  <si>
    <t>INE556F08KU4</t>
  </si>
  <si>
    <t>Non-convertible Debentures/bonds Total</t>
  </si>
  <si>
    <t>C) Money Market Instruments</t>
  </si>
  <si>
    <t>Money Market Instruments Total</t>
  </si>
  <si>
    <t>D) Repo</t>
  </si>
  <si>
    <t>Portfolio Total</t>
  </si>
  <si>
    <t>Net Assets</t>
  </si>
  <si>
    <t>NA</t>
  </si>
  <si>
    <t>Long</t>
  </si>
  <si>
    <t>Short</t>
  </si>
  <si>
    <t>as on 31-05-26</t>
  </si>
  <si>
    <t>LG ELECTRONICS INDIA LTD</t>
  </si>
  <si>
    <t>JSW DULUX LTD.</t>
  </si>
  <si>
    <t>TVS MOTOR COMPANY LTD.</t>
  </si>
  <si>
    <t>BLUE STAR LTD.</t>
  </si>
  <si>
    <t>Industrial Products</t>
  </si>
  <si>
    <t>Household Appliances</t>
  </si>
  <si>
    <t>2/3 Wheelers</t>
  </si>
  <si>
    <t>INE324D01010</t>
  </si>
  <si>
    <t>INE494B01023</t>
  </si>
  <si>
    <t>INE472A01039</t>
  </si>
  <si>
    <t>MKT VAL</t>
  </si>
  <si>
    <t>WIPRO LTD.</t>
  </si>
  <si>
    <t>OIL &amp; NATU. GAS CO.</t>
  </si>
  <si>
    <t>INFOSYS LTD.</t>
  </si>
  <si>
    <t>CANARA BANK</t>
  </si>
  <si>
    <t>360 ONE WAM LTD.(ERSTWHILE IIFL WEALTH MANAGEMENT LTD)</t>
  </si>
  <si>
    <t>SHRIRAM FINANCE LTD.</t>
  </si>
  <si>
    <t>ICICI PRUDENTIAL LIFE INSURANCE COMPANY LTD.</t>
  </si>
  <si>
    <t>VOLTAS LTD.</t>
  </si>
  <si>
    <t>COCHIN SHIPYARD LTD</t>
  </si>
  <si>
    <t>ANGEL ONE LTD.</t>
  </si>
  <si>
    <t>HYUNDAI MOTOR INDIA LTD.</t>
  </si>
  <si>
    <t>COFORGE LTD.</t>
  </si>
  <si>
    <t>CHOLAMANDALAM INVT &amp; FIN  CO LTD.</t>
  </si>
  <si>
    <t>BAJAJ AUTO LTD.</t>
  </si>
  <si>
    <t>CUMMINS INDIA LTD.</t>
  </si>
  <si>
    <t>Oil</t>
  </si>
  <si>
    <t>Industrial Manufacturing</t>
  </si>
  <si>
    <t>NIFTY</t>
  </si>
  <si>
    <t>Put Option</t>
  </si>
  <si>
    <t>TREASURY BILL 182 DAYS (11/06/2026)</t>
  </si>
  <si>
    <t>TREASURY BILL 91 DAYS (30/07/2026)</t>
  </si>
  <si>
    <t>TREASURY BILL 91 DAYS (06/08/2026)</t>
  </si>
  <si>
    <t>TREASURY BILL 91 DAYS (20/08/2026)</t>
  </si>
  <si>
    <t>IN002025Y370</t>
  </si>
  <si>
    <t>IN002026X040</t>
  </si>
  <si>
    <t>IN002026X057</t>
  </si>
  <si>
    <t>IN002026X073</t>
  </si>
  <si>
    <t>Net Current Assets</t>
  </si>
  <si>
    <t>Foreign Securities and/or overseas ETF(s)</t>
  </si>
  <si>
    <t>NIL</t>
  </si>
  <si>
    <t>* % Of Market Value Of Securities To Net Assets Is &lt; 0.01</t>
  </si>
  <si>
    <t>** Thinly Traded / Non Traded Securities / Illiquid Securities</t>
  </si>
  <si>
    <t>Total Value Of Illiquid Equity Shares: Nil</t>
  </si>
  <si>
    <t>DIVIDEND DECLARED: NIL</t>
  </si>
  <si>
    <t>TOTAL INVESTMENTS IN FOREIGN SECURITIES / ADRS / GDRS: NIL</t>
  </si>
  <si>
    <t>TOTAL BELOW INVESTMENT GRADE OR DEFAULT PROVIDED FOR:</t>
  </si>
  <si>
    <t>Amount of Margins_x000D_( Rs. in Lakhs )</t>
  </si>
  <si>
    <t>Cash As Margin</t>
  </si>
  <si>
    <t>Government Securities (Face Value)</t>
  </si>
  <si>
    <t>T-Bills (Face Value)</t>
  </si>
  <si>
    <t>Mutual Fund Units(Amt)</t>
  </si>
  <si>
    <t>Equity Margin</t>
  </si>
  <si>
    <t>Total Gross Margin</t>
  </si>
  <si>
    <t xml:space="preserve">Hedging positions through futures as on  </t>
  </si>
  <si>
    <t>Underlying</t>
  </si>
  <si>
    <t>Long/Short</t>
  </si>
  <si>
    <t>Future price when purchased</t>
  </si>
  <si>
    <t>Current Price of the contract</t>
  </si>
  <si>
    <t>Margin maintained in Rs.lakhs</t>
  </si>
  <si>
    <t xml:space="preserve">Other than Hedging positions through futures as on  </t>
  </si>
  <si>
    <t xml:space="preserve">Hedging Positions through options as on </t>
  </si>
  <si>
    <t>Call/Put</t>
  </si>
  <si>
    <t>Number of Contracts</t>
  </si>
  <si>
    <t>Price when purchased</t>
  </si>
  <si>
    <t>Current Market Price</t>
  </si>
  <si>
    <t xml:space="preserve">Other than Hedging Positions through options as on </t>
  </si>
  <si>
    <t>Position</t>
  </si>
  <si>
    <t>Instrument Type</t>
  </si>
  <si>
    <t>Maturity/Next Interest Fixing Date **</t>
  </si>
  <si>
    <t>Notional Value (in Lakhs)</t>
  </si>
  <si>
    <t>Investments in Specialized Investment Fund involves relatively higher risk including potential loss of capital, liquidity risk and market volatility. Please read all investment strategy related documents carefully before making the investment decision.</t>
  </si>
  <si>
    <t>31st May 2026</t>
  </si>
  <si>
    <t>Hedging Positions through Interest Rate Swaps as on 31st May 2026</t>
  </si>
  <si>
    <t>PORTFOLIO TURNOVER RATIO: 0.07 Times</t>
  </si>
  <si>
    <t>Instruments</t>
  </si>
  <si>
    <t>Disclosure of Margins as of 31st May 2026 is as given below   :</t>
  </si>
  <si>
    <t>THE SCHEME RISK BAND AND INVESTMENT STARTEGY BENCHMARK RISK-O-METERS ARE AS OF</t>
  </si>
  <si>
    <t>Nav As On 31-May-26: Rs.9.9842 (direct - Idcw)</t>
  </si>
  <si>
    <t>Nav As On 31-May-26: Rs.9.9842 (direct - Growth)</t>
  </si>
  <si>
    <t>Nav As On 1-May-26: Rs.9.9019 (regular - Idcw)</t>
  </si>
  <si>
    <t>Nav As On 1-May-26: Rs.9.9291 (direct - Idcw)</t>
  </si>
  <si>
    <t>Nav As On 31-May-26: Rs.9.8611 (regular - Idcw)</t>
  </si>
  <si>
    <t>Nav As On 31-May-26: Rs.9.8611 (regular - Growth)</t>
  </si>
  <si>
    <t>Short Term Deposits</t>
  </si>
  <si>
    <t>Term Deposits</t>
  </si>
  <si>
    <t>Titanium Equity Long-short Fund</t>
  </si>
  <si>
    <t>INE009A01021</t>
  </si>
  <si>
    <t>INE213A01029</t>
  </si>
  <si>
    <t>INE158A01026</t>
  </si>
  <si>
    <t>INE481G01011</t>
  </si>
  <si>
    <t>TATA CONSULTANCY SERVICES LTD.</t>
  </si>
  <si>
    <t>INE467B01029</t>
  </si>
  <si>
    <t>GLAXO SMITHKLINE PHARMA</t>
  </si>
  <si>
    <t>INE159A01016</t>
  </si>
  <si>
    <t>ABBOTT INDIA LTD.</t>
  </si>
  <si>
    <t>INE358A01014</t>
  </si>
  <si>
    <t>FDC LTD.</t>
  </si>
  <si>
    <t>INE258B01022</t>
  </si>
  <si>
    <t>TATA MOTORS LTD</t>
  </si>
  <si>
    <t>Commercial Vehicles</t>
  </si>
  <si>
    <t>INE1TAE01010</t>
  </si>
  <si>
    <t>INDIAN OIL CORP LTD.</t>
  </si>
  <si>
    <t>SIEMENS ENERGY INDIA LIMITED</t>
  </si>
  <si>
    <t>Heavy Electrical Equipment</t>
  </si>
  <si>
    <t>INE1NPP01017</t>
  </si>
  <si>
    <t>INE028A01039</t>
  </si>
  <si>
    <t>GUJARAT PIPAVAV PORT LTD.</t>
  </si>
  <si>
    <t>Port &amp; Port services</t>
  </si>
  <si>
    <t>INE517F01014</t>
  </si>
  <si>
    <t>E-Retail/ E-Commerce</t>
  </si>
  <si>
    <t>INE00H001014</t>
  </si>
  <si>
    <t>CONTAINER CORPORATION OF INDIA LTD.</t>
  </si>
  <si>
    <t>Logistics Solution Provider</t>
  </si>
  <si>
    <t>INE111A01025</t>
  </si>
  <si>
    <t>TBO TEK LTD.</t>
  </si>
  <si>
    <t>Tour, Travel Related Services</t>
  </si>
  <si>
    <t>INE673O01025</t>
  </si>
  <si>
    <t>PG ELECTROPLAST LTD.</t>
  </si>
  <si>
    <t>INE457L01029</t>
  </si>
  <si>
    <t>AWL AGRI BUSINESS LTD.</t>
  </si>
  <si>
    <t>INE699H01024</t>
  </si>
  <si>
    <t>Stockbroking &amp; Allied</t>
  </si>
  <si>
    <t>INE466L01038</t>
  </si>
  <si>
    <t>KANSAI NEROLAC PAINTS LTD.</t>
  </si>
  <si>
    <t>INE531A01024</t>
  </si>
  <si>
    <t>Non Banking Financial Company (NBFC)</t>
  </si>
  <si>
    <t>INE721A01047</t>
  </si>
  <si>
    <t>INE476A01022</t>
  </si>
  <si>
    <t>ICICI LOMBARD GENERAL INSURANCE CO. LTD.</t>
  </si>
  <si>
    <t>General Insurance</t>
  </si>
  <si>
    <t>INE765G01017</t>
  </si>
  <si>
    <t>MAX FINANCIAL SERVICES LTD.</t>
  </si>
  <si>
    <t>INE180A01020</t>
  </si>
  <si>
    <t>LEELA PALACES HOTELS &amp; RESORTS LIMITED</t>
  </si>
  <si>
    <t>Hotels &amp; Resorts</t>
  </si>
  <si>
    <t>INE0AQ201015</t>
  </si>
  <si>
    <t>HEALTHCARE GLOBAL ENTERPRISES LTD.</t>
  </si>
  <si>
    <t>INE075I01017</t>
  </si>
  <si>
    <t>SAI LIFE SCIENCES LTD</t>
  </si>
  <si>
    <t>INE570L01029</t>
  </si>
  <si>
    <t>BAYER CROPSCIENCE LTD.</t>
  </si>
  <si>
    <t>Pesticides &amp; Agrochemicals</t>
  </si>
  <si>
    <t>INE462A01022</t>
  </si>
  <si>
    <t>Net Current Liabilities</t>
  </si>
  <si>
    <t>THE SCHEME RISK-O-METERS AND SCHEME BENCHMARK RISK-O-METERS ARE AS OF</t>
  </si>
  <si>
    <t>Nav As On 31-May-26: Rs.10.0114 (regular - Idcw)</t>
  </si>
  <si>
    <t>Nav As On 31-May-26: Rs.10.0114 (regular - Growth)</t>
  </si>
  <si>
    <t>Nav As On 31-May-26: Rs.10.0201 (direct - Idcw)</t>
  </si>
  <si>
    <t>Nav As On 31-May-26: Rs.10.0201 (direct - Growth)</t>
  </si>
  <si>
    <t xml:space="preserve">PORTFOLIO TURNOVER RATIO: </t>
  </si>
  <si>
    <t>Disclosure of Margins as of 31st March 2026 is as given below   :</t>
  </si>
  <si>
    <t>Name Of The Bank</t>
  </si>
  <si>
    <t>Fixed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</si>
</sst>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0_);_(* \(#,##0\);_(* &quot;-&quot;??_);_(@_)"/>
    <numFmt numFmtId="166" formatCode="[$-409]d\-mmmm\-yyyy;@"/>
  </numFmts>
  <fonts count="31">
    <font>
      <sz val="11"/>
      <color theme="1"/>
      <name val="Aptos Narrow"/>
      <family val="2"/>
      <scheme val="minor"/>
    </font>
    <font>
      <sz val="11"/>
      <color theme="1"/>
      <name val="Aptos Narrow"/>
      <family val="2"/>
      <scheme val="minor"/>
    </font>
    <font>
      <b/>
      <sz val="10"/>
      <color theme="0"/>
      <name val="Rupee Foradian"/>
    </font>
    <font>
      <sz val="10"/>
      <name val="Rupee Foradian"/>
    </font>
    <font>
      <u/>
      <sz val="11"/>
      <color theme="10"/>
      <name val="Calibri"/>
      <family val="2"/>
    </font>
    <font>
      <b/>
      <sz val="10"/>
      <name val="Rupee Foradian"/>
    </font>
    <font>
      <b/>
      <sz val="10"/>
      <color theme="1"/>
      <name val="Rupee foradian"/>
    </font>
    <font>
      <sz val="11"/>
      <name val="Calibri"/>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0"/>
      <color indexed="8"/>
      <name val="Arial"/>
      <family val="2"/>
    </font>
    <font>
      <sz val="10"/>
      <color theme="1"/>
      <name val="Rupee foradian"/>
    </font>
    <font>
      <u/>
      <sz val="10"/>
      <color theme="10"/>
      <name val="Rupee foradian"/>
    </font>
    <font>
      <sz val="10"/>
      <color theme="1"/>
      <name val="Aptos Narrow"/>
      <family val="2"/>
      <scheme val="minor"/>
    </font>
    <font>
      <b/>
      <u/>
      <sz val="10"/>
      <color theme="1"/>
      <name val="Rupee foradian"/>
    </font>
  </fonts>
  <fills count="19">
    <fill>
      <patternFill patternType="none"/>
    </fill>
    <fill>
      <patternFill patternType="gray125"/>
    </fill>
    <fill>
      <patternFill patternType="solid">
        <fgColor theme="1"/>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61">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1" fillId="0" borderId="0"/>
    <xf numFmtId="0" fontId="7" fillId="0" borderId="0"/>
    <xf numFmtId="0" fontId="8" fillId="0" borderId="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7"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4"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4" applyNumberFormat="0" applyAlignment="0" applyProtection="0"/>
    <xf numFmtId="0" fontId="13" fillId="18" borderId="5" applyNumberFormat="0" applyAlignment="0" applyProtection="0"/>
    <xf numFmtId="43" fontId="8" fillId="0" borderId="0" applyFont="0" applyFill="0" applyBorder="0" applyAlignment="0" applyProtection="0"/>
    <xf numFmtId="0" fontId="14" fillId="0" borderId="0" applyNumberFormat="0" applyFill="0" applyBorder="0" applyAlignment="0" applyProtection="0"/>
    <xf numFmtId="0" fontId="15" fillId="7" borderId="0" applyNumberFormat="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8" borderId="4" applyNumberFormat="0" applyAlignment="0" applyProtection="0"/>
    <xf numFmtId="0" fontId="21" fillId="0" borderId="9" applyNumberFormat="0" applyFill="0" applyAlignment="0" applyProtection="0"/>
    <xf numFmtId="0" fontId="22" fillId="8" borderId="0" applyNumberFormat="0" applyBorder="0" applyAlignment="0" applyProtection="0"/>
    <xf numFmtId="0" fontId="8" fillId="5" borderId="10" applyNumberFormat="0" applyFont="0" applyAlignment="0" applyProtection="0"/>
    <xf numFmtId="0" fontId="23" fillId="17" borderId="11" applyNumberFormat="0" applyAlignment="0" applyProtection="0"/>
    <xf numFmtId="9" fontId="8"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1" fillId="0" borderId="0" applyNumberFormat="0" applyFill="0" applyBorder="0" applyAlignment="0" applyProtection="0"/>
    <xf numFmtId="9" fontId="8" fillId="0" borderId="0" applyFont="0" applyFill="0" applyBorder="0" applyAlignment="0" applyProtection="0"/>
    <xf numFmtId="0" fontId="26" fillId="0" borderId="0"/>
    <xf numFmtId="0" fontId="8" fillId="0" borderId="0"/>
    <xf numFmtId="9" fontId="8" fillId="0" borderId="0" applyFont="0" applyFill="0" applyBorder="0" applyAlignment="0" applyProtection="0"/>
    <xf numFmtId="0" fontId="8" fillId="0" borderId="0"/>
    <xf numFmtId="0" fontId="8" fillId="0" borderId="0"/>
    <xf numFmtId="9" fontId="1" fillId="0" borderId="0" applyFont="0" applyFill="0" applyBorder="0" applyAlignment="0" applyProtection="0"/>
    <xf numFmtId="0" fontId="8" fillId="0" borderId="0"/>
    <xf numFmtId="43" fontId="8" fillId="0" borderId="0" applyFont="0" applyFill="0" applyBorder="0" applyAlignment="0" applyProtection="0"/>
    <xf numFmtId="43" fontId="9" fillId="0" borderId="0" applyFont="0" applyFill="0" applyBorder="0" applyAlignment="0" applyProtection="0"/>
    <xf numFmtId="0" fontId="1" fillId="0" borderId="0"/>
  </cellStyleXfs>
  <cellXfs count="86">
    <xf numFmtId="0" fontId="0" fillId="0" borderId="0" xfId="0"/>
    <xf numFmtId="0" fontId="3" fillId="0" borderId="0" xfId="0" applyFont="1"/>
    <xf numFmtId="2" fontId="3" fillId="0" borderId="0" xfId="0" applyNumberFormat="1" applyFont="1"/>
    <xf numFmtId="0" fontId="5" fillId="0" borderId="3" xfId="0" applyFont="1" applyBorder="1"/>
    <xf numFmtId="2" fontId="5" fillId="0" borderId="3" xfId="0" applyNumberFormat="1" applyFont="1" applyBorder="1"/>
    <xf numFmtId="2" fontId="5" fillId="0" borderId="3" xfId="0" applyNumberFormat="1" applyFont="1" applyBorder="1" applyAlignment="1">
      <alignment horizontal="right"/>
    </xf>
    <xf numFmtId="0" fontId="5" fillId="0" borderId="0" xfId="0" applyFont="1"/>
    <xf numFmtId="2" fontId="3" fillId="0" borderId="0" xfId="0" applyNumberFormat="1" applyFont="1" applyAlignment="1">
      <alignment horizontal="right"/>
    </xf>
    <xf numFmtId="1" fontId="3" fillId="0" borderId="0" xfId="0" applyNumberFormat="1" applyFont="1" applyAlignment="1">
      <alignment horizontal="right"/>
    </xf>
    <xf numFmtId="0" fontId="3" fillId="0" borderId="3" xfId="0" applyFont="1" applyBorder="1"/>
    <xf numFmtId="2" fontId="3" fillId="0" borderId="3" xfId="0" applyNumberFormat="1" applyFont="1" applyBorder="1" applyAlignment="1">
      <alignment horizontal="right"/>
    </xf>
    <xf numFmtId="2" fontId="5" fillId="0" borderId="0" xfId="0" applyNumberFormat="1" applyFont="1"/>
    <xf numFmtId="2" fontId="5" fillId="0" borderId="0" xfId="0" applyNumberFormat="1" applyFont="1" applyAlignment="1">
      <alignment horizontal="right"/>
    </xf>
    <xf numFmtId="2" fontId="5" fillId="0" borderId="0" xfId="0" applyNumberFormat="1" applyFont="1" applyAlignment="1">
      <alignment horizontal="center"/>
    </xf>
    <xf numFmtId="43" fontId="3" fillId="0" borderId="0" xfId="1" applyFont="1"/>
    <xf numFmtId="165" fontId="5" fillId="0" borderId="0" xfId="1" applyNumberFormat="1" applyFont="1"/>
    <xf numFmtId="2" fontId="3" fillId="0" borderId="0" xfId="0" applyNumberFormat="1" applyFont="1" applyAlignment="1">
      <alignment horizontal="center"/>
    </xf>
    <xf numFmtId="0" fontId="2" fillId="2" borderId="1" xfId="0" applyFont="1" applyFill="1" applyBorder="1" applyAlignment="1">
      <alignment vertical="center"/>
    </xf>
    <xf numFmtId="0" fontId="2" fillId="2" borderId="0" xfId="0" applyFont="1" applyFill="1" applyAlignment="1">
      <alignment vertical="center"/>
    </xf>
    <xf numFmtId="0" fontId="5" fillId="0" borderId="3" xfId="0" applyFont="1" applyBorder="1" applyAlignment="1">
      <alignment horizontal="center"/>
    </xf>
    <xf numFmtId="2" fontId="5" fillId="0" borderId="13" xfId="0" applyNumberFormat="1" applyFont="1" applyBorder="1" applyAlignment="1">
      <alignment horizontal="center"/>
    </xf>
    <xf numFmtId="164" fontId="3" fillId="0" borderId="0" xfId="1" applyNumberFormat="1" applyFont="1" applyBorder="1" applyAlignment="1">
      <alignment horizontal="center"/>
    </xf>
    <xf numFmtId="2" fontId="5" fillId="0" borderId="3" xfId="0" applyNumberFormat="1" applyFont="1" applyBorder="1" applyAlignment="1">
      <alignment horizontal="center"/>
    </xf>
    <xf numFmtId="0" fontId="5" fillId="0" borderId="0" xfId="0" applyFont="1" applyAlignment="1">
      <alignment horizontal="center"/>
    </xf>
    <xf numFmtId="0" fontId="3" fillId="0" borderId="0" xfId="0" applyFont="1" applyAlignment="1">
      <alignment horizontal="center"/>
    </xf>
    <xf numFmtId="0" fontId="27" fillId="0" borderId="0" xfId="0" applyFont="1"/>
    <xf numFmtId="0" fontId="5" fillId="0" borderId="2" xfId="0" applyFont="1" applyBorder="1" applyAlignment="1">
      <alignment vertical="center" wrapText="1"/>
    </xf>
    <xf numFmtId="2" fontId="3" fillId="0" borderId="0" xfId="1" applyNumberFormat="1" applyFont="1" applyBorder="1" applyAlignment="1">
      <alignment horizontal="center" vertical="top" wrapText="1"/>
    </xf>
    <xf numFmtId="0" fontId="3" fillId="0" borderId="2" xfId="0" applyFont="1" applyBorder="1" applyAlignment="1">
      <alignment vertical="center" wrapText="1"/>
    </xf>
    <xf numFmtId="0" fontId="3" fillId="0" borderId="2" xfId="0" applyFont="1" applyBorder="1" applyAlignment="1">
      <alignment horizontal="justify" vertical="center" wrapText="1"/>
    </xf>
    <xf numFmtId="0" fontId="27" fillId="0" borderId="0" xfId="0" applyFont="1" applyAlignment="1">
      <alignment horizontal="center"/>
    </xf>
    <xf numFmtId="1" fontId="29" fillId="0" borderId="0" xfId="0" applyNumberFormat="1" applyFont="1" applyAlignment="1">
      <alignment horizontal="center"/>
    </xf>
    <xf numFmtId="2" fontId="29" fillId="0" borderId="0" xfId="0" applyNumberFormat="1" applyFont="1" applyAlignment="1">
      <alignment horizontal="center"/>
    </xf>
    <xf numFmtId="2" fontId="27" fillId="0" borderId="0" xfId="0" applyNumberFormat="1" applyFont="1"/>
    <xf numFmtId="164" fontId="27" fillId="0" borderId="0" xfId="1" applyNumberFormat="1" applyFont="1"/>
    <xf numFmtId="0" fontId="6" fillId="0" borderId="0" xfId="3" applyFont="1" applyAlignment="1">
      <alignment vertical="top"/>
    </xf>
    <xf numFmtId="0" fontId="6" fillId="0" borderId="0" xfId="0" applyFont="1" applyAlignment="1">
      <alignment horizontal="center"/>
    </xf>
    <xf numFmtId="2" fontId="6" fillId="0" borderId="0" xfId="0" applyNumberFormat="1" applyFont="1" applyAlignment="1">
      <alignment horizontal="center"/>
    </xf>
    <xf numFmtId="0" fontId="6" fillId="0" borderId="0" xfId="0" applyFont="1"/>
    <xf numFmtId="165" fontId="27" fillId="0" borderId="0" xfId="1" applyNumberFormat="1" applyFont="1"/>
    <xf numFmtId="1" fontId="29" fillId="0" borderId="0" xfId="0" applyNumberFormat="1" applyFont="1"/>
    <xf numFmtId="2" fontId="27" fillId="0" borderId="0" xfId="0" applyNumberFormat="1" applyFont="1" applyAlignment="1">
      <alignment horizontal="center"/>
    </xf>
    <xf numFmtId="165" fontId="6" fillId="0" borderId="0" xfId="1" applyNumberFormat="1" applyFont="1" applyBorder="1"/>
    <xf numFmtId="0" fontId="6" fillId="0" borderId="3" xfId="3" applyFont="1" applyBorder="1" applyAlignment="1">
      <alignment vertical="top"/>
    </xf>
    <xf numFmtId="0" fontId="6" fillId="0" borderId="3" xfId="0" applyFont="1" applyBorder="1" applyAlignment="1">
      <alignment horizontal="center"/>
    </xf>
    <xf numFmtId="0" fontId="30" fillId="0" borderId="0" xfId="3" applyFont="1" applyAlignment="1">
      <alignment vertical="top"/>
    </xf>
    <xf numFmtId="2" fontId="6" fillId="0" borderId="0" xfId="0" applyNumberFormat="1" applyFont="1"/>
    <xf numFmtId="1" fontId="27" fillId="0" borderId="0" xfId="0" applyNumberFormat="1" applyFont="1" applyAlignment="1">
      <alignment horizontal="center"/>
    </xf>
    <xf numFmtId="0" fontId="27" fillId="0" borderId="3" xfId="0" applyFont="1" applyBorder="1"/>
    <xf numFmtId="2" fontId="6" fillId="0" borderId="3" xfId="0" applyNumberFormat="1" applyFont="1" applyBorder="1" applyAlignment="1">
      <alignment horizontal="center"/>
    </xf>
    <xf numFmtId="165" fontId="27" fillId="0" borderId="3" xfId="1" applyNumberFormat="1" applyFont="1" applyBorder="1"/>
    <xf numFmtId="164" fontId="5" fillId="0" borderId="0" xfId="0" applyNumberFormat="1" applyFont="1"/>
    <xf numFmtId="165" fontId="27" fillId="0" borderId="0" xfId="1" applyNumberFormat="1" applyFont="1" applyBorder="1"/>
    <xf numFmtId="164" fontId="27" fillId="0" borderId="0" xfId="1" applyNumberFormat="1" applyFont="1" applyBorder="1" applyAlignment="1">
      <alignment horizontal="center"/>
    </xf>
    <xf numFmtId="1" fontId="5" fillId="0" borderId="0" xfId="0" applyNumberFormat="1" applyFont="1" applyAlignment="1">
      <alignment horizontal="center"/>
    </xf>
    <xf numFmtId="0" fontId="27" fillId="0" borderId="0" xfId="3" applyFont="1" applyAlignment="1">
      <alignment vertical="top"/>
    </xf>
    <xf numFmtId="0" fontId="5" fillId="0" borderId="2" xfId="0" applyFont="1" applyBorder="1"/>
    <xf numFmtId="166" fontId="5" fillId="0" borderId="2" xfId="0" applyNumberFormat="1" applyFont="1" applyBorder="1"/>
    <xf numFmtId="0" fontId="3" fillId="0" borderId="2" xfId="0" applyFont="1" applyBorder="1"/>
    <xf numFmtId="0" fontId="3" fillId="0" borderId="14" xfId="0" applyFont="1" applyBorder="1"/>
    <xf numFmtId="2" fontId="3" fillId="0" borderId="15" xfId="0" applyNumberFormat="1" applyFont="1" applyBorder="1" applyAlignment="1">
      <alignment horizontal="right"/>
    </xf>
    <xf numFmtId="2" fontId="5" fillId="0" borderId="2" xfId="0" applyNumberFormat="1" applyFont="1" applyBorder="1"/>
    <xf numFmtId="0" fontId="5" fillId="0" borderId="14" xfId="0" applyFont="1" applyBorder="1"/>
    <xf numFmtId="2" fontId="5" fillId="0" borderId="2" xfId="0" applyNumberFormat="1" applyFont="1" applyBorder="1" applyAlignment="1">
      <alignment horizontal="right"/>
    </xf>
    <xf numFmtId="0" fontId="3" fillId="0" borderId="16" xfId="0" applyFont="1" applyBorder="1"/>
    <xf numFmtId="2" fontId="3" fillId="0" borderId="16" xfId="0" applyNumberFormat="1" applyFont="1" applyBorder="1"/>
    <xf numFmtId="0" fontId="3" fillId="0" borderId="17" xfId="0" applyFont="1" applyBorder="1"/>
    <xf numFmtId="2" fontId="3" fillId="0" borderId="16" xfId="0" applyNumberFormat="1" applyFont="1" applyBorder="1" applyAlignment="1">
      <alignment horizontal="right"/>
    </xf>
    <xf numFmtId="2" fontId="3" fillId="0" borderId="2" xfId="0" applyNumberFormat="1" applyFont="1" applyBorder="1" applyAlignment="1">
      <alignment horizontal="right"/>
    </xf>
    <xf numFmtId="0" fontId="6" fillId="0" borderId="2" xfId="0" applyFont="1" applyBorder="1"/>
    <xf numFmtId="166" fontId="5" fillId="0" borderId="0" xfId="0" applyNumberFormat="1" applyFont="1"/>
    <xf numFmtId="2" fontId="3" fillId="0" borderId="2" xfId="0" applyNumberFormat="1" applyFont="1" applyBorder="1"/>
    <xf numFmtId="0" fontId="27" fillId="0" borderId="2" xfId="0" applyFont="1" applyBorder="1"/>
    <xf numFmtId="164" fontId="27" fillId="0" borderId="2" xfId="1" applyNumberFormat="1" applyFont="1" applyBorder="1"/>
    <xf numFmtId="164" fontId="27" fillId="0" borderId="2" xfId="1" applyNumberFormat="1" applyFont="1" applyBorder="1" applyAlignment="1">
      <alignment horizontal="center"/>
    </xf>
    <xf numFmtId="164" fontId="27" fillId="0" borderId="2" xfId="1" applyNumberFormat="1" applyFont="1" applyBorder="1" applyAlignment="1"/>
    <xf numFmtId="0" fontId="27" fillId="0" borderId="2" xfId="0" applyFont="1" applyBorder="1" applyAlignment="1">
      <alignment horizontal="center"/>
    </xf>
    <xf numFmtId="2" fontId="27" fillId="0" borderId="2" xfId="0" applyNumberFormat="1" applyFont="1" applyBorder="1" applyAlignment="1">
      <alignment horizontal="center"/>
    </xf>
    <xf numFmtId="2" fontId="5" fillId="0" borderId="2" xfId="0" applyNumberFormat="1" applyFont="1" applyBorder="1" applyAlignment="1">
      <alignment wrapText="1"/>
    </xf>
    <xf numFmtId="4" fontId="6" fillId="0" borderId="2" xfId="1" applyNumberFormat="1" applyFont="1" applyBorder="1"/>
    <xf numFmtId="2" fontId="28" fillId="0" borderId="2" xfId="2" applyNumberFormat="1" applyFont="1" applyBorder="1" applyAlignment="1">
      <alignment horizontal="center" vertical="top" wrapText="1"/>
    </xf>
    <xf numFmtId="2" fontId="3" fillId="0" borderId="2" xfId="1" applyNumberFormat="1" applyFont="1" applyBorder="1" applyAlignment="1">
      <alignment horizontal="center" vertical="top" wrapText="1"/>
    </xf>
    <xf numFmtId="2" fontId="3" fillId="0" borderId="2" xfId="0" applyNumberFormat="1" applyFont="1" applyBorder="1" applyAlignment="1">
      <alignment horizontal="center" vertical="top"/>
    </xf>
    <xf numFmtId="165" fontId="6" fillId="0" borderId="0" xfId="1" applyNumberFormat="1" applyFont="1" applyBorder="1" applyAlignment="1">
      <alignment horizontal="center"/>
    </xf>
    <xf numFmtId="1" fontId="3" fillId="0" borderId="0" xfId="0" applyNumberFormat="1" applyFont="1" applyAlignment="1">
      <alignment horizontal="center"/>
    </xf>
    <xf numFmtId="2" fontId="3" fillId="0" borderId="15" xfId="0" applyNumberFormat="1" applyFont="1" applyBorder="1" applyAlignment="1">
      <alignment horizontal="center" vertical="top"/>
    </xf>
  </cellXfs>
  <cellStyles count="61">
    <cellStyle name="20% - Accent1 2" xfId="6" xr:uid="{B550BF59-07D5-4E12-BB2A-3C0322E05F03}"/>
    <cellStyle name="20% - Accent2 2" xfId="7" xr:uid="{BDAA8112-8179-4F9B-A1D2-38F3D47A145A}"/>
    <cellStyle name="20% - Accent3 2" xfId="8" xr:uid="{90BE12AA-1611-49AC-9573-DD8C107D0170}"/>
    <cellStyle name="20% - Accent4 2" xfId="9" xr:uid="{E7D1A7CB-3D86-479F-8761-70C5DEF2AEDD}"/>
    <cellStyle name="20% - Accent5 2" xfId="10" xr:uid="{FBA20757-7B00-41B8-9110-DC8E4DA156DE}"/>
    <cellStyle name="20% - Accent6 2" xfId="11" xr:uid="{901CFBF1-1464-4AAE-83E1-D51BF7EDF902}"/>
    <cellStyle name="40% - Accent1 2" xfId="12" xr:uid="{A06B1A0F-1D4F-4B38-8900-8A0380C87411}"/>
    <cellStyle name="40% - Accent2 2" xfId="13" xr:uid="{2BE4F918-55C7-4BA4-ACDC-F4F15473CD28}"/>
    <cellStyle name="40% - Accent3 2" xfId="14" xr:uid="{1DDF9F7D-8E40-4698-B4D9-BB6B366601D9}"/>
    <cellStyle name="40% - Accent4 2" xfId="15" xr:uid="{94839271-EAC5-4AC5-8B1A-C0B1CE1F724E}"/>
    <cellStyle name="40% - Accent5 2" xfId="16" xr:uid="{C71EF4D2-17D9-4A23-B526-9F2D03975BCA}"/>
    <cellStyle name="40% - Accent6 2" xfId="17" xr:uid="{6E4F9363-1955-4C60-8AD4-072BE11C3CFD}"/>
    <cellStyle name="60% - Accent1 2" xfId="18" xr:uid="{46D8DA6B-9339-4C59-8FC3-C95730C56E09}"/>
    <cellStyle name="60% - Accent2 2" xfId="19" xr:uid="{30432415-D3FF-4595-8290-4FFD02951F38}"/>
    <cellStyle name="60% - Accent3 2" xfId="20" xr:uid="{B477B2C0-BB7C-432E-9A49-DAE37C16CE18}"/>
    <cellStyle name="60% - Accent4 2" xfId="21" xr:uid="{FFD40EF5-24C5-4A01-8FCA-E85B34E6EE97}"/>
    <cellStyle name="60% - Accent5 2" xfId="22" xr:uid="{6D0048CC-743D-4CC4-BB80-555C02300601}"/>
    <cellStyle name="60% - Accent6 2" xfId="23" xr:uid="{EF5B8B3F-3BD6-4700-9E5A-3F369B10E62E}"/>
    <cellStyle name="Accent1 2" xfId="24" xr:uid="{B070999F-B8B7-4BBA-9AEC-031248294B9F}"/>
    <cellStyle name="Accent2 2" xfId="25" xr:uid="{A8FD60C2-BE36-42D9-9F8F-4AF54F12AE23}"/>
    <cellStyle name="Accent3 2" xfId="26" xr:uid="{5A97F021-48C0-40F7-8F0D-EB8E27FC1B7D}"/>
    <cellStyle name="Accent4 2" xfId="27" xr:uid="{F70970AF-1163-45F7-BF4D-0781CA233F53}"/>
    <cellStyle name="Accent5 2" xfId="28" xr:uid="{3ABB04EF-7298-4A16-BA89-7D49487BE95C}"/>
    <cellStyle name="Accent6 2" xfId="29" xr:uid="{220F1D1F-BCE9-40A6-8046-A93CCDDF2160}"/>
    <cellStyle name="Bad 2" xfId="30" xr:uid="{F8EA3994-A892-4136-8720-BA0DB6B9DF68}"/>
    <cellStyle name="Calculation 2" xfId="31" xr:uid="{18B47C59-EE6E-45DD-975C-24D9D6255E0A}"/>
    <cellStyle name="Check Cell 2" xfId="32" xr:uid="{87DA7F3D-96A0-4DDD-B8EF-35B50F4C0C69}"/>
    <cellStyle name="Comma" xfId="1" builtinId="3"/>
    <cellStyle name="Comma 2" xfId="33" xr:uid="{3A0B7897-769C-4B41-9C86-AF0AE3CDD338}"/>
    <cellStyle name="Comma 2 2" xfId="58" xr:uid="{7DC7637B-CA98-4356-8F62-2FCD142CFC96}"/>
    <cellStyle name="Comma 3" xfId="59" xr:uid="{7BCBD8AE-F769-484A-BDF2-AFA57CB5C382}"/>
    <cellStyle name="Explanatory Text 2" xfId="34" xr:uid="{B54809BD-24C9-446D-8566-8DE9C853C3DA}"/>
    <cellStyle name="Good 2" xfId="35" xr:uid="{22C180BC-DDAA-4A3D-80D0-29FC9DF7DBA4}"/>
    <cellStyle name="Heading 1 2" xfId="36" xr:uid="{D7FE27C8-F72F-4BEA-AF25-D03589D575E6}"/>
    <cellStyle name="Heading 2 2" xfId="37" xr:uid="{78E8DA0B-CC3F-4FAD-8306-39BF4F8092D8}"/>
    <cellStyle name="Heading 3 2" xfId="38" xr:uid="{8DDB896C-E5E7-4BAD-BE4A-FC21B51A5BD8}"/>
    <cellStyle name="Heading 4 2" xfId="39" xr:uid="{7EFA41FF-C3B0-4B35-A145-CAB31D76EE9E}"/>
    <cellStyle name="Hyperlink" xfId="2" builtinId="8"/>
    <cellStyle name="Hyperlink 2" xfId="40" xr:uid="{FADD0521-359C-43CA-A91B-645B39351D1D}"/>
    <cellStyle name="Input 2" xfId="41" xr:uid="{CBB88125-3EA6-49EA-A6AB-D23D6545AC5A}"/>
    <cellStyle name="Linked Cell 2" xfId="42" xr:uid="{3DE4DEB6-AE71-4206-B0AE-42D505C5AAEB}"/>
    <cellStyle name="Neutral 2" xfId="43" xr:uid="{A96AAF41-5E0C-4385-8BA5-1A30958C61CB}"/>
    <cellStyle name="Normal" xfId="0" builtinId="0"/>
    <cellStyle name="Normal 2" xfId="3" xr:uid="{A16C7550-DBFB-418D-81EC-914E18F450D1}"/>
    <cellStyle name="Normal 2 2" xfId="51" xr:uid="{FCD3D913-64B6-4D89-BECB-897907DD7DA7}"/>
    <cellStyle name="Normal 2 3" xfId="55" xr:uid="{65D23BFD-EECC-47DA-AB6B-9319885C7733}"/>
    <cellStyle name="Normal 2 3 2" xfId="57" xr:uid="{9C7E25DA-DF54-41FA-9CBD-94F2EA0AFC91}"/>
    <cellStyle name="Normal 3" xfId="4" xr:uid="{A9C6B6FB-37EC-4285-8D5F-7602DB394210}"/>
    <cellStyle name="Normal 3 2" xfId="52" xr:uid="{19217C6E-2096-493D-A995-759A40BB0D31}"/>
    <cellStyle name="Normal 4" xfId="54" xr:uid="{0EDD1C9E-08CB-4ABD-BCDC-61E375F8A51B}"/>
    <cellStyle name="Normal 5" xfId="60" xr:uid="{3D2788CE-5B55-438F-8BA4-20A18C894662}"/>
    <cellStyle name="Normal 6" xfId="5" xr:uid="{B0C13129-79B8-4E3B-8CF3-E22064E573F6}"/>
    <cellStyle name="Note 2" xfId="44" xr:uid="{FC323E96-D149-4BDE-A603-93B1D27244AD}"/>
    <cellStyle name="Output 2" xfId="45" xr:uid="{E74F0D6A-98A0-45AC-8619-2E9E6F9EF8A5}"/>
    <cellStyle name="Percent 2" xfId="53" xr:uid="{E71BB511-8691-459B-8A26-1E5E5F628654}"/>
    <cellStyle name="Percent 3" xfId="56" xr:uid="{DDCAF4DF-A12D-4D16-A970-2465C94849DA}"/>
    <cellStyle name="Percent 4" xfId="50" xr:uid="{A87A4390-936C-49CF-A118-D50BFF9466EB}"/>
    <cellStyle name="Percent 6" xfId="46" xr:uid="{6002A24C-E1A0-4FD2-8DA4-68D420804859}"/>
    <cellStyle name="Title 2" xfId="47" xr:uid="{DB755F4D-A0A8-457F-BFA0-AAA13FF54788}"/>
    <cellStyle name="Total 2" xfId="48" xr:uid="{B59E0C0D-F011-4CEB-BF97-29B1FA3FF6C7}"/>
    <cellStyle name="Warning Text 2" xfId="49" xr:uid="{CEADB904-0CD1-496C-963D-30D8721482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316372</xdr:colOff>
      <xdr:row>2</xdr:row>
      <xdr:rowOff>410208</xdr:rowOff>
    </xdr:from>
    <xdr:to>
      <xdr:col>1</xdr:col>
      <xdr:colOff>2260600</xdr:colOff>
      <xdr:row>7</xdr:row>
      <xdr:rowOff>195864</xdr:rowOff>
    </xdr:to>
    <xdr:pic>
      <xdr:nvPicPr>
        <xdr:cNvPr id="2" name="Picture 1">
          <a:extLst>
            <a:ext uri="{FF2B5EF4-FFF2-40B4-BE49-F238E27FC236}">
              <a16:creationId xmlns:a16="http://schemas.microsoft.com/office/drawing/2014/main" id="{E2E08D97-A978-4A86-8425-803D06BD0FB5}"/>
            </a:ext>
          </a:extLst>
        </xdr:cNvPr>
        <xdr:cNvPicPr>
          <a:picLocks noChangeAspect="1"/>
        </xdr:cNvPicPr>
      </xdr:nvPicPr>
      <xdr:blipFill>
        <a:blip xmlns:r="http://schemas.openxmlformats.org/officeDocument/2006/relationships" r:embed="rId1"/>
        <a:stretch>
          <a:fillRect/>
        </a:stretch>
      </xdr:blipFill>
      <xdr:spPr>
        <a:xfrm>
          <a:off x="5828172" y="1172208"/>
          <a:ext cx="1944228" cy="1284256"/>
        </a:xfrm>
        <a:prstGeom prst="rect">
          <a:avLst/>
        </a:prstGeom>
      </xdr:spPr>
    </xdr:pic>
    <xdr:clientData/>
  </xdr:twoCellAnchor>
  <xdr:twoCellAnchor editAs="oneCell">
    <xdr:from>
      <xdr:col>2</xdr:col>
      <xdr:colOff>434913</xdr:colOff>
      <xdr:row>2</xdr:row>
      <xdr:rowOff>466912</xdr:rowOff>
    </xdr:from>
    <xdr:to>
      <xdr:col>2</xdr:col>
      <xdr:colOff>2323988</xdr:colOff>
      <xdr:row>7</xdr:row>
      <xdr:rowOff>182273</xdr:rowOff>
    </xdr:to>
    <xdr:pic>
      <xdr:nvPicPr>
        <xdr:cNvPr id="3" name="Picture 2">
          <a:extLst>
            <a:ext uri="{FF2B5EF4-FFF2-40B4-BE49-F238E27FC236}">
              <a16:creationId xmlns:a16="http://schemas.microsoft.com/office/drawing/2014/main" id="{54DFCF90-8C40-4457-9A9A-09BA0DA9DCB4}"/>
            </a:ext>
          </a:extLst>
        </xdr:cNvPr>
        <xdr:cNvPicPr>
          <a:picLocks noChangeAspect="1"/>
        </xdr:cNvPicPr>
      </xdr:nvPicPr>
      <xdr:blipFill>
        <a:blip xmlns:r="http://schemas.openxmlformats.org/officeDocument/2006/relationships" r:embed="rId2"/>
        <a:stretch>
          <a:fillRect/>
        </a:stretch>
      </xdr:blipFill>
      <xdr:spPr>
        <a:xfrm>
          <a:off x="8613713" y="1228912"/>
          <a:ext cx="1889075" cy="1213961"/>
        </a:xfrm>
        <a:prstGeom prst="rect">
          <a:avLst/>
        </a:prstGeom>
      </xdr:spPr>
    </xdr:pic>
    <xdr:clientData/>
  </xdr:twoCellAnchor>
  <xdr:oneCellAnchor>
    <xdr:from>
      <xdr:col>1</xdr:col>
      <xdr:colOff>521917</xdr:colOff>
      <xdr:row>2</xdr:row>
      <xdr:rowOff>0</xdr:rowOff>
    </xdr:from>
    <xdr:ext cx="1731308" cy="311496"/>
    <xdr:sp macro="" textlink="">
      <xdr:nvSpPr>
        <xdr:cNvPr id="4" name="TextBox 3">
          <a:extLst>
            <a:ext uri="{FF2B5EF4-FFF2-40B4-BE49-F238E27FC236}">
              <a16:creationId xmlns:a16="http://schemas.microsoft.com/office/drawing/2014/main" id="{3D283729-435F-9FED-A568-08E1994418F3}"/>
            </a:ext>
          </a:extLst>
        </xdr:cNvPr>
        <xdr:cNvSpPr txBox="1"/>
      </xdr:nvSpPr>
      <xdr:spPr>
        <a:xfrm>
          <a:off x="6028150" y="782877"/>
          <a:ext cx="17313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Risk Band</a:t>
          </a:r>
          <a:r>
            <a:rPr lang="en-IN" sz="1400" b="1" baseline="0"/>
            <a:t> of Scheme</a:t>
          </a:r>
          <a:endParaRPr lang="en-IN" sz="1400" b="1"/>
        </a:p>
      </xdr:txBody>
    </xdr:sp>
    <xdr:clientData/>
  </xdr:oneCellAnchor>
  <xdr:oneCellAnchor>
    <xdr:from>
      <xdr:col>2</xdr:col>
      <xdr:colOff>535140</xdr:colOff>
      <xdr:row>2</xdr:row>
      <xdr:rowOff>39318</xdr:rowOff>
    </xdr:from>
    <xdr:ext cx="1974964" cy="311496"/>
    <xdr:sp macro="" textlink="">
      <xdr:nvSpPr>
        <xdr:cNvPr id="5" name="TextBox 4">
          <a:extLst>
            <a:ext uri="{FF2B5EF4-FFF2-40B4-BE49-F238E27FC236}">
              <a16:creationId xmlns:a16="http://schemas.microsoft.com/office/drawing/2014/main" id="{99915EB9-EF54-4338-AF4F-0FC34F7C8BE9}"/>
            </a:ext>
          </a:extLst>
        </xdr:cNvPr>
        <xdr:cNvSpPr txBox="1"/>
      </xdr:nvSpPr>
      <xdr:spPr>
        <a:xfrm>
          <a:off x="8711852" y="822195"/>
          <a:ext cx="19749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Risk Band</a:t>
          </a:r>
          <a:r>
            <a:rPr lang="en-IN" sz="1400" b="1" baseline="0"/>
            <a:t> of Benchmark</a:t>
          </a:r>
          <a:endParaRPr lang="en-IN" sz="1400" b="1"/>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521917</xdr:colOff>
      <xdr:row>2</xdr:row>
      <xdr:rowOff>0</xdr:rowOff>
    </xdr:from>
    <xdr:ext cx="1731308" cy="311496"/>
    <xdr:sp macro="" textlink="">
      <xdr:nvSpPr>
        <xdr:cNvPr id="2" name="TextBox 1">
          <a:extLst>
            <a:ext uri="{FF2B5EF4-FFF2-40B4-BE49-F238E27FC236}">
              <a16:creationId xmlns:a16="http://schemas.microsoft.com/office/drawing/2014/main" id="{9D91DB14-FC30-4C2A-ACFB-D33FB049959E}"/>
            </a:ext>
          </a:extLst>
        </xdr:cNvPr>
        <xdr:cNvSpPr txBox="1"/>
      </xdr:nvSpPr>
      <xdr:spPr>
        <a:xfrm>
          <a:off x="6027367" y="755650"/>
          <a:ext cx="17313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Risk Band</a:t>
          </a:r>
          <a:r>
            <a:rPr lang="en-IN" sz="1400" b="1" baseline="0"/>
            <a:t> of Scheme</a:t>
          </a:r>
          <a:endParaRPr lang="en-IN" sz="1400" b="1"/>
        </a:p>
      </xdr:txBody>
    </xdr:sp>
    <xdr:clientData/>
  </xdr:oneCellAnchor>
  <xdr:oneCellAnchor>
    <xdr:from>
      <xdr:col>2</xdr:col>
      <xdr:colOff>535140</xdr:colOff>
      <xdr:row>2</xdr:row>
      <xdr:rowOff>39318</xdr:rowOff>
    </xdr:from>
    <xdr:ext cx="1974964" cy="311496"/>
    <xdr:sp macro="" textlink="">
      <xdr:nvSpPr>
        <xdr:cNvPr id="3" name="TextBox 2">
          <a:extLst>
            <a:ext uri="{FF2B5EF4-FFF2-40B4-BE49-F238E27FC236}">
              <a16:creationId xmlns:a16="http://schemas.microsoft.com/office/drawing/2014/main" id="{051D2169-89A6-4669-93D9-3108DD37FEC6}"/>
            </a:ext>
          </a:extLst>
        </xdr:cNvPr>
        <xdr:cNvSpPr txBox="1"/>
      </xdr:nvSpPr>
      <xdr:spPr>
        <a:xfrm>
          <a:off x="8707590" y="794968"/>
          <a:ext cx="19749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Risk Band</a:t>
          </a:r>
          <a:r>
            <a:rPr lang="en-IN" sz="1400" b="1" baseline="0"/>
            <a:t> of Benchmark</a:t>
          </a:r>
          <a:endParaRPr lang="en-IN" sz="1400" b="1"/>
        </a:p>
      </xdr:txBody>
    </xdr:sp>
    <xdr:clientData/>
  </xdr:oneCellAnchor>
  <xdr:twoCellAnchor editAs="oneCell">
    <xdr:from>
      <xdr:col>1</xdr:col>
      <xdr:colOff>136960</xdr:colOff>
      <xdr:row>3</xdr:row>
      <xdr:rowOff>24901</xdr:rowOff>
    </xdr:from>
    <xdr:to>
      <xdr:col>1</xdr:col>
      <xdr:colOff>2497962</xdr:colOff>
      <xdr:row>8</xdr:row>
      <xdr:rowOff>44200</xdr:rowOff>
    </xdr:to>
    <xdr:pic>
      <xdr:nvPicPr>
        <xdr:cNvPr id="4" name="Picture 3">
          <a:extLst>
            <a:ext uri="{FF2B5EF4-FFF2-40B4-BE49-F238E27FC236}">
              <a16:creationId xmlns:a16="http://schemas.microsoft.com/office/drawing/2014/main" id="{F2772AFA-19E1-4395-825E-9212DACC1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42410" y="1307601"/>
          <a:ext cx="2361002" cy="940049"/>
        </a:xfrm>
        <a:prstGeom prst="rect">
          <a:avLst/>
        </a:prstGeom>
      </xdr:spPr>
    </xdr:pic>
    <xdr:clientData/>
  </xdr:twoCellAnchor>
  <xdr:twoCellAnchor editAs="oneCell">
    <xdr:from>
      <xdr:col>2</xdr:col>
      <xdr:colOff>164850</xdr:colOff>
      <xdr:row>3</xdr:row>
      <xdr:rowOff>15438</xdr:rowOff>
    </xdr:from>
    <xdr:to>
      <xdr:col>2</xdr:col>
      <xdr:colOff>2525852</xdr:colOff>
      <xdr:row>8</xdr:row>
      <xdr:rowOff>34737</xdr:rowOff>
    </xdr:to>
    <xdr:pic>
      <xdr:nvPicPr>
        <xdr:cNvPr id="5" name="Picture 4">
          <a:extLst>
            <a:ext uri="{FF2B5EF4-FFF2-40B4-BE49-F238E27FC236}">
              <a16:creationId xmlns:a16="http://schemas.microsoft.com/office/drawing/2014/main" id="{ACA6B8FA-AE0D-41C6-A1B2-E6AE441731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7300" y="1298138"/>
          <a:ext cx="2361002" cy="940049"/>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BAF_GOV_SEC_1" connectionId="1" xr16:uid="{A43AF6F8-C58C-4591-A3D7-ADAC075A831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RATINGS"/>
      <queryTableField id="8" dataBound="0" fillFormulas="1"/>
      <queryTableField id="4" name="ISIN CODE"/>
      <queryTableField id="5" dataBound="0" fillFormulas="1"/>
      <queryTableField id="6" dataBound="0" fillFormulas="1"/>
      <queryTableField id="7" dataBound="0" fillFormulas="1"/>
    </queryTableFields>
    <queryTableDeletedFields count="3">
      <deletedField name="MKT VAL(Rs. Lacs)"/>
      <deletedField name="QUANTITY"/>
      <deletedField name="% to NAV"/>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BAF_MM_1" headers="0" connectionId="5" xr16:uid="{97F98725-84AB-4BE1-8DA7-7026C09B5431}" autoFormatId="16" applyNumberFormats="0" applyBorderFormats="0" applyFontFormats="1" applyPatternFormats="1" applyAlignmentFormats="0" applyWidthHeightFormats="0">
  <queryTableRefresh headersInLastRefresh="0" nextId="9">
    <queryTableFields count="7">
      <queryTableField id="2" name="B"/>
      <queryTableField id="3" dataBound="0" fillFormulas="1"/>
      <queryTableField id="8" dataBound="0" fillFormulas="1"/>
      <queryTableField id="4" name="D"/>
      <queryTableField id="5" dataBound="0" fillFormulas="1"/>
      <queryTableField id="6" dataBound="0" fillFormulas="1"/>
      <queryTableField id="7" dataBound="0" fillFormulas="1"/>
    </queryTableFields>
    <queryTableDeletedFields count="5">
      <deletedField name="A"/>
      <deletedField name="C"/>
      <deletedField name="F"/>
      <deletedField name="G"/>
      <deletedField name="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HLSFSIFNAV_1" headers="0" connectionId="7" xr16:uid="{9B457B77-735B-4D0C-964E-6B789D1E3D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BAF_Debt_Related_1_1" headers="0" connectionId="3" xr16:uid="{0D02F83E-301C-46DE-BCA9-E505B7BBFD1B}" autoFormatId="16" applyNumberFormats="0" applyBorderFormats="0" applyFontFormats="1" applyPatternFormats="1" applyAlignmentFormats="0" applyWidthHeightFormats="0">
  <queryTableRefresh headersInLastRefresh="0" nextId="12">
    <queryTableFields count="7">
      <queryTableField id="2" name="B"/>
      <queryTableField id="3" dataBound="0" fillFormulas="1"/>
      <queryTableField id="11" dataBound="0" fillFormulas="1"/>
      <queryTableField id="4" name="D"/>
      <queryTableField id="5" dataBound="0" fillFormulas="1"/>
      <queryTableField id="6" dataBound="0" fillFormulas="1"/>
      <queryTableField id="7" dataBound="0" fillFormulas="1"/>
    </queryTableFields>
    <queryTableDeletedFields count="5">
      <deletedField name="A||DECODE(INSTR(A,'(II)'),0,''"/>
      <deletedField name="C"/>
      <deletedField name="F"/>
      <deletedField name="G"/>
      <deletedField name="E"/>
    </queryTableDeletedFields>
    <sortState xmlns:xlrd2="http://schemas.microsoft.com/office/spreadsheetml/2017/richdata2" ref="A1:H5">
      <sortCondition descending="1" ref="H1"/>
    </sortState>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HLSFSIFNAV_1" headers="0" connectionId="8" xr16:uid="{1E0D9069-0E95-40E6-BD1C-44417204E3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BAF_GOV_SEC_1" connectionId="2" xr16:uid="{8C66D84C-D1A4-4F1D-8DC5-872D2A16CE9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RATINGS"/>
      <queryTableField id="8" dataBound="0" fillFormulas="1"/>
      <queryTableField id="4" name="ISIN CODE"/>
      <queryTableField id="5" dataBound="0" fillFormulas="1"/>
      <queryTableField id="6" dataBound="0" fillFormulas="1"/>
      <queryTableField id="7" dataBound="0" fillFormulas="1"/>
    </queryTableFields>
    <queryTableDeletedFields count="3">
      <deletedField name="MKT VAL(Rs. Lacs)"/>
      <deletedField name="QUANTITY"/>
      <deletedField name="% to NAV"/>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BAF_Debt_Related_1_1" headers="0" connectionId="4" xr16:uid="{1F590881-D882-4CF6-8FD4-59B22E41E050}" autoFormatId="16" applyNumberFormats="0" applyBorderFormats="0" applyFontFormats="1" applyPatternFormats="1" applyAlignmentFormats="0" applyWidthHeightFormats="0">
  <queryTableRefresh headersInLastRefresh="0" nextId="12">
    <queryTableFields count="7">
      <queryTableField id="2" name="B"/>
      <queryTableField id="3" dataBound="0" fillFormulas="1"/>
      <queryTableField id="11" dataBound="0" fillFormulas="1"/>
      <queryTableField id="4" name="D"/>
      <queryTableField id="5" dataBound="0" fillFormulas="1"/>
      <queryTableField id="6" dataBound="0" fillFormulas="1"/>
      <queryTableField id="7" dataBound="0" fillFormulas="1"/>
    </queryTableFields>
    <queryTableDeletedFields count="5">
      <deletedField name="A||DECODE(INSTR(A,'(II)'),0,''"/>
      <deletedField name="C"/>
      <deletedField name="F"/>
      <deletedField name="G"/>
      <deletedField name="E"/>
    </queryTableDeletedFields>
    <sortState xmlns:xlrd2="http://schemas.microsoft.com/office/spreadsheetml/2017/richdata2" ref="A1:H5">
      <sortCondition descending="1" ref="H1"/>
    </sortState>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BAF_MM_1" headers="0" connectionId="6" xr16:uid="{1C0DD85B-BD80-4056-B602-520444E19057}" autoFormatId="16" applyNumberFormats="0" applyBorderFormats="0" applyFontFormats="1" applyPatternFormats="1" applyAlignmentFormats="0" applyWidthHeightFormats="0">
  <queryTableRefresh headersInLastRefresh="0" nextId="9">
    <queryTableFields count="7">
      <queryTableField id="2" name="B"/>
      <queryTableField id="3" dataBound="0" fillFormulas="1"/>
      <queryTableField id="8" dataBound="0" fillFormulas="1"/>
      <queryTableField id="4" name="D"/>
      <queryTableField id="5" dataBound="0" fillFormulas="1"/>
      <queryTableField id="6" dataBound="0" fillFormulas="1"/>
      <queryTableField id="7" dataBound="0" fillFormulas="1"/>
    </queryTableFields>
    <queryTableDeletedFields count="5">
      <deletedField name="A"/>
      <deletedField name="C"/>
      <deletedField name="F"/>
      <deletedField name="G"/>
      <deletedField name="E"/>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drawing" Target="../drawings/drawing1.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drawing" Target="../drawings/drawing2.xml"/><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63F7-D773-4282-B873-48ED7C9D4F00}">
  <dimension ref="A1:J213"/>
  <sheetViews>
    <sheetView topLeftCell="A125" zoomScale="63" workbookViewId="0">
      <selection activeCell="B199" sqref="B199"/>
    </sheetView>
  </sheetViews>
  <sheetFormatPr defaultRowHeight="12.5"/>
  <cols>
    <col min="1" max="1" width="78.81640625" style="25" customWidth="1"/>
    <col min="2" max="2" width="38.1796875" style="25" bestFit="1" customWidth="1"/>
    <col min="3" max="3" width="38" style="25" customWidth="1"/>
    <col min="4" max="4" width="38.36328125" style="25" customWidth="1"/>
    <col min="5" max="5" width="27.36328125" style="25" bestFit="1" customWidth="1"/>
    <col min="6" max="6" width="29.26953125" style="25" bestFit="1" customWidth="1"/>
    <col min="7" max="7" width="23.26953125" style="25" bestFit="1" customWidth="1"/>
    <col min="8" max="8" width="11.26953125" style="25" bestFit="1" customWidth="1"/>
    <col min="9" max="9" width="22.6328125" style="25" customWidth="1"/>
    <col min="10" max="10" width="14.36328125" style="25" bestFit="1" customWidth="1"/>
    <col min="11" max="11" width="23.36328125" style="25" customWidth="1"/>
    <col min="12" max="16384" width="8.7265625" style="25"/>
  </cols>
  <sheetData>
    <row r="1" spans="1:10" ht="47" customHeight="1">
      <c r="A1" s="17" t="s">
        <v>0</v>
      </c>
      <c r="B1" s="18"/>
      <c r="C1" s="18"/>
      <c r="D1" s="18"/>
      <c r="E1" s="18"/>
      <c r="F1" s="18"/>
      <c r="G1" s="18"/>
      <c r="H1" s="18"/>
    </row>
    <row r="2" spans="1:10">
      <c r="A2" s="1"/>
      <c r="B2" s="2"/>
      <c r="C2" s="1"/>
      <c r="D2" s="1"/>
      <c r="E2" s="1"/>
    </row>
    <row r="3" spans="1:10" ht="41.5" customHeight="1">
      <c r="A3" s="26" t="s">
        <v>0</v>
      </c>
      <c r="B3" s="80"/>
      <c r="C3" s="81"/>
      <c r="D3" s="27"/>
      <c r="E3" s="14"/>
    </row>
    <row r="4" spans="1:10" ht="25">
      <c r="A4" s="28" t="s">
        <v>1</v>
      </c>
      <c r="B4" s="80"/>
      <c r="C4" s="81"/>
      <c r="D4" s="27"/>
    </row>
    <row r="5" spans="1:10">
      <c r="A5" s="29" t="s">
        <v>2</v>
      </c>
      <c r="B5" s="80"/>
      <c r="C5" s="81"/>
      <c r="D5" s="27"/>
      <c r="E5" s="14"/>
    </row>
    <row r="6" spans="1:10">
      <c r="A6" s="29" t="s">
        <v>3</v>
      </c>
      <c r="B6" s="80"/>
      <c r="C6" s="81"/>
      <c r="D6" s="27"/>
      <c r="E6" s="14"/>
    </row>
    <row r="7" spans="1:10" ht="25">
      <c r="A7" s="28" t="s">
        <v>4</v>
      </c>
      <c r="B7" s="80"/>
      <c r="C7" s="81"/>
      <c r="D7" s="27"/>
      <c r="E7" s="14"/>
    </row>
    <row r="8" spans="1:10" ht="25">
      <c r="A8" s="29" t="s">
        <v>5</v>
      </c>
      <c r="B8" s="80"/>
      <c r="C8" s="81"/>
      <c r="D8" s="27"/>
      <c r="E8" s="14"/>
    </row>
    <row r="9" spans="1:10">
      <c r="A9" s="29" t="s">
        <v>187</v>
      </c>
    </row>
    <row r="11" spans="1:10" ht="13">
      <c r="A11" s="3" t="s">
        <v>6</v>
      </c>
      <c r="B11" s="3" t="s">
        <v>7</v>
      </c>
      <c r="C11" s="3" t="s">
        <v>8</v>
      </c>
      <c r="D11" s="3"/>
      <c r="E11" s="19" t="s">
        <v>9</v>
      </c>
      <c r="F11" s="19" t="s">
        <v>10</v>
      </c>
      <c r="G11" s="19" t="s">
        <v>198</v>
      </c>
      <c r="H11" s="19" t="s">
        <v>11</v>
      </c>
    </row>
    <row r="12" spans="1:10" ht="13">
      <c r="A12" s="6" t="s">
        <v>12</v>
      </c>
      <c r="B12" s="6"/>
      <c r="C12" s="1"/>
      <c r="D12" s="1"/>
      <c r="E12" s="1"/>
      <c r="F12" s="7"/>
      <c r="G12" s="8"/>
      <c r="H12" s="7"/>
    </row>
    <row r="13" spans="1:10" ht="13">
      <c r="A13" s="6" t="s">
        <v>13</v>
      </c>
      <c r="B13" s="6"/>
      <c r="C13" s="1"/>
      <c r="D13" s="1"/>
      <c r="E13" s="1"/>
      <c r="F13" s="7"/>
      <c r="G13" s="8"/>
      <c r="H13" s="7"/>
    </row>
    <row r="14" spans="1:10" ht="13">
      <c r="A14" s="25" t="s">
        <v>14</v>
      </c>
      <c r="B14" s="30" t="s">
        <v>184</v>
      </c>
      <c r="C14" s="25" t="s">
        <v>15</v>
      </c>
      <c r="E14" s="30" t="s">
        <v>16</v>
      </c>
      <c r="F14" s="30">
        <v>180000</v>
      </c>
      <c r="G14" s="31">
        <v>226152000</v>
      </c>
      <c r="H14" s="32">
        <v>4.1214000000000004</v>
      </c>
      <c r="I14" s="33"/>
    </row>
    <row r="15" spans="1:10" ht="13">
      <c r="A15" s="25" t="s">
        <v>17</v>
      </c>
      <c r="B15" s="30" t="s">
        <v>184</v>
      </c>
      <c r="C15" s="25" t="s">
        <v>15</v>
      </c>
      <c r="E15" s="30" t="s">
        <v>18</v>
      </c>
      <c r="F15" s="30">
        <v>295000</v>
      </c>
      <c r="G15" s="31">
        <v>219642250</v>
      </c>
      <c r="H15" s="32">
        <v>4.0027999999999997</v>
      </c>
      <c r="I15" s="34"/>
    </row>
    <row r="16" spans="1:10" ht="13">
      <c r="A16" s="25" t="s">
        <v>22</v>
      </c>
      <c r="B16" s="30" t="s">
        <v>184</v>
      </c>
      <c r="C16" s="25" t="s">
        <v>23</v>
      </c>
      <c r="E16" s="30" t="s">
        <v>24</v>
      </c>
      <c r="F16" s="30">
        <v>55000</v>
      </c>
      <c r="G16" s="31">
        <v>167508000</v>
      </c>
      <c r="H16" s="32">
        <v>3.0527000000000002</v>
      </c>
      <c r="I16" s="34"/>
      <c r="J16" s="34"/>
    </row>
    <row r="17" spans="1:9" ht="13">
      <c r="A17" s="25" t="s">
        <v>25</v>
      </c>
      <c r="B17" s="30" t="s">
        <v>184</v>
      </c>
      <c r="C17" s="25" t="s">
        <v>26</v>
      </c>
      <c r="E17" s="30" t="s">
        <v>27</v>
      </c>
      <c r="F17" s="30">
        <v>36000</v>
      </c>
      <c r="G17" s="31">
        <v>146754000</v>
      </c>
      <c r="H17" s="32">
        <v>2.6745000000000001</v>
      </c>
      <c r="I17" s="33"/>
    </row>
    <row r="18" spans="1:9" ht="13">
      <c r="A18" s="25" t="s">
        <v>28</v>
      </c>
      <c r="B18" s="30" t="s">
        <v>184</v>
      </c>
      <c r="C18" s="25" t="s">
        <v>29</v>
      </c>
      <c r="E18" s="30" t="s">
        <v>30</v>
      </c>
      <c r="F18" s="30">
        <v>80000</v>
      </c>
      <c r="G18" s="31">
        <v>146320000</v>
      </c>
      <c r="H18" s="32">
        <v>2.6665000000000001</v>
      </c>
      <c r="I18" s="34"/>
    </row>
    <row r="19" spans="1:9" ht="13">
      <c r="A19" s="25" t="s">
        <v>19</v>
      </c>
      <c r="B19" s="30" t="s">
        <v>184</v>
      </c>
      <c r="C19" s="25" t="s">
        <v>20</v>
      </c>
      <c r="E19" s="30" t="s">
        <v>21</v>
      </c>
      <c r="F19" s="30">
        <v>95000</v>
      </c>
      <c r="G19" s="31">
        <v>125514000</v>
      </c>
      <c r="H19" s="32">
        <v>2.2873999999999999</v>
      </c>
      <c r="I19" s="34"/>
    </row>
    <row r="20" spans="1:9" ht="13">
      <c r="A20" s="25" t="s">
        <v>31</v>
      </c>
      <c r="B20" s="30" t="s">
        <v>184</v>
      </c>
      <c r="C20" s="25" t="s">
        <v>32</v>
      </c>
      <c r="E20" s="30" t="s">
        <v>33</v>
      </c>
      <c r="F20" s="30">
        <v>51000</v>
      </c>
      <c r="G20" s="31">
        <v>91759200</v>
      </c>
      <c r="H20" s="32">
        <v>1.6721999999999999</v>
      </c>
      <c r="I20" s="34"/>
    </row>
    <row r="21" spans="1:9" ht="13">
      <c r="A21" s="25" t="s">
        <v>34</v>
      </c>
      <c r="B21" s="30" t="s">
        <v>184</v>
      </c>
      <c r="C21" s="25" t="s">
        <v>15</v>
      </c>
      <c r="E21" s="30" t="s">
        <v>35</v>
      </c>
      <c r="F21" s="30">
        <v>65000</v>
      </c>
      <c r="G21" s="31">
        <v>83629000</v>
      </c>
      <c r="H21" s="32">
        <v>1.5241</v>
      </c>
      <c r="I21" s="34"/>
    </row>
    <row r="22" spans="1:9" ht="13">
      <c r="A22" s="25" t="s">
        <v>47</v>
      </c>
      <c r="B22" s="30" t="s">
        <v>184</v>
      </c>
      <c r="C22" s="25" t="s">
        <v>29</v>
      </c>
      <c r="E22" s="30" t="s">
        <v>48</v>
      </c>
      <c r="F22" s="30">
        <v>40000</v>
      </c>
      <c r="G22" s="31">
        <v>78600000</v>
      </c>
      <c r="H22" s="32">
        <v>1.4323999999999999</v>
      </c>
      <c r="I22" s="33"/>
    </row>
    <row r="23" spans="1:9" ht="13">
      <c r="A23" s="25" t="s">
        <v>49</v>
      </c>
      <c r="B23" s="30" t="s">
        <v>184</v>
      </c>
      <c r="C23" s="25" t="s">
        <v>50</v>
      </c>
      <c r="E23" s="30" t="s">
        <v>51</v>
      </c>
      <c r="F23" s="30">
        <v>80000</v>
      </c>
      <c r="G23" s="31">
        <v>77152000</v>
      </c>
      <c r="H23" s="32">
        <v>1.4059999999999999</v>
      </c>
      <c r="I23" s="33"/>
    </row>
    <row r="24" spans="1:9" ht="13">
      <c r="A24" s="25" t="s">
        <v>36</v>
      </c>
      <c r="B24" s="30" t="s">
        <v>184</v>
      </c>
      <c r="C24" s="25" t="s">
        <v>37</v>
      </c>
      <c r="E24" s="30" t="s">
        <v>38</v>
      </c>
      <c r="F24" s="30">
        <v>180000</v>
      </c>
      <c r="G24" s="31">
        <v>74043000</v>
      </c>
      <c r="H24" s="32">
        <v>1.3493999999999999</v>
      </c>
      <c r="I24" s="34"/>
    </row>
    <row r="25" spans="1:9" ht="13">
      <c r="A25" s="25" t="s">
        <v>45</v>
      </c>
      <c r="B25" s="30" t="s">
        <v>184</v>
      </c>
      <c r="C25" s="25" t="s">
        <v>192</v>
      </c>
      <c r="E25" s="30" t="s">
        <v>46</v>
      </c>
      <c r="F25" s="30">
        <v>145000</v>
      </c>
      <c r="G25" s="31">
        <v>72159250</v>
      </c>
      <c r="H25" s="32">
        <v>1.3149999999999999</v>
      </c>
      <c r="I25" s="33"/>
    </row>
    <row r="26" spans="1:9" ht="13">
      <c r="A26" s="25" t="s">
        <v>42</v>
      </c>
      <c r="B26" s="30" t="s">
        <v>184</v>
      </c>
      <c r="C26" s="25" t="s">
        <v>43</v>
      </c>
      <c r="E26" s="30" t="s">
        <v>44</v>
      </c>
      <c r="F26" s="30">
        <v>180000</v>
      </c>
      <c r="G26" s="31">
        <v>69642000</v>
      </c>
      <c r="H26" s="32">
        <v>1.2692000000000001</v>
      </c>
      <c r="I26" s="33"/>
    </row>
    <row r="27" spans="1:9" ht="13">
      <c r="A27" s="25" t="s">
        <v>39</v>
      </c>
      <c r="B27" s="30" t="s">
        <v>184</v>
      </c>
      <c r="C27" s="25" t="s">
        <v>40</v>
      </c>
      <c r="E27" s="30" t="s">
        <v>41</v>
      </c>
      <c r="F27" s="30">
        <v>220000</v>
      </c>
      <c r="G27" s="31">
        <v>63118000</v>
      </c>
      <c r="H27" s="32">
        <v>1.1503000000000001</v>
      </c>
      <c r="I27" s="34"/>
    </row>
    <row r="28" spans="1:9" ht="13">
      <c r="A28" s="25" t="s">
        <v>55</v>
      </c>
      <c r="B28" s="30" t="s">
        <v>184</v>
      </c>
      <c r="C28" s="25" t="s">
        <v>53</v>
      </c>
      <c r="E28" s="30" t="s">
        <v>56</v>
      </c>
      <c r="F28" s="30">
        <v>134104</v>
      </c>
      <c r="G28" s="31">
        <v>60058476.399999999</v>
      </c>
      <c r="H28" s="32">
        <v>1.0945</v>
      </c>
      <c r="I28" s="33"/>
    </row>
    <row r="29" spans="1:9" ht="13">
      <c r="A29" s="25" t="s">
        <v>57</v>
      </c>
      <c r="B29" s="30" t="s">
        <v>184</v>
      </c>
      <c r="C29" s="25" t="s">
        <v>58</v>
      </c>
      <c r="E29" s="30" t="s">
        <v>59</v>
      </c>
      <c r="F29" s="30">
        <v>12000</v>
      </c>
      <c r="G29" s="31">
        <v>52860000</v>
      </c>
      <c r="H29" s="32">
        <v>0.96330000000000005</v>
      </c>
      <c r="I29" s="33"/>
    </row>
    <row r="30" spans="1:9" ht="13">
      <c r="A30" s="25" t="s">
        <v>80</v>
      </c>
      <c r="B30" s="30" t="s">
        <v>184</v>
      </c>
      <c r="C30" s="25" t="s">
        <v>81</v>
      </c>
      <c r="E30" s="30" t="s">
        <v>82</v>
      </c>
      <c r="F30" s="30">
        <v>10000</v>
      </c>
      <c r="G30" s="31">
        <v>52045000</v>
      </c>
      <c r="H30" s="32">
        <v>0.94850000000000001</v>
      </c>
      <c r="I30" s="34"/>
    </row>
    <row r="31" spans="1:9" ht="13">
      <c r="A31" s="25" t="s">
        <v>61</v>
      </c>
      <c r="B31" s="30" t="s">
        <v>184</v>
      </c>
      <c r="C31" s="25" t="s">
        <v>62</v>
      </c>
      <c r="E31" s="30" t="s">
        <v>63</v>
      </c>
      <c r="F31" s="30">
        <v>60000</v>
      </c>
      <c r="G31" s="31">
        <v>49302000</v>
      </c>
      <c r="H31" s="32">
        <v>0.89849999999999997</v>
      </c>
      <c r="I31" s="33"/>
    </row>
    <row r="32" spans="1:9" ht="13">
      <c r="A32" s="25" t="s">
        <v>69</v>
      </c>
      <c r="B32" s="30" t="s">
        <v>184</v>
      </c>
      <c r="C32" s="25" t="s">
        <v>70</v>
      </c>
      <c r="E32" s="30" t="s">
        <v>71</v>
      </c>
      <c r="F32" s="30">
        <v>29608</v>
      </c>
      <c r="G32" s="31">
        <v>47591899.200000003</v>
      </c>
      <c r="H32" s="32">
        <v>0.86729999999999996</v>
      </c>
      <c r="I32" s="33"/>
    </row>
    <row r="33" spans="1:9" ht="13">
      <c r="A33" s="25" t="s">
        <v>64</v>
      </c>
      <c r="B33" s="30" t="s">
        <v>184</v>
      </c>
      <c r="C33" s="25" t="s">
        <v>37</v>
      </c>
      <c r="E33" s="30" t="s">
        <v>65</v>
      </c>
      <c r="F33" s="30">
        <v>80000</v>
      </c>
      <c r="G33" s="31">
        <v>47584000</v>
      </c>
      <c r="H33" s="32">
        <v>0.86719999999999997</v>
      </c>
      <c r="I33" s="34"/>
    </row>
    <row r="34" spans="1:9" ht="13">
      <c r="A34" s="25" t="s">
        <v>72</v>
      </c>
      <c r="B34" s="30" t="s">
        <v>184</v>
      </c>
      <c r="C34" s="25" t="s">
        <v>15</v>
      </c>
      <c r="E34" s="30" t="s">
        <v>73</v>
      </c>
      <c r="F34" s="30">
        <v>50000</v>
      </c>
      <c r="G34" s="31">
        <v>45717500</v>
      </c>
      <c r="H34" s="32">
        <v>0.83320000000000005</v>
      </c>
      <c r="I34" s="33"/>
    </row>
    <row r="35" spans="1:9" ht="13">
      <c r="A35" s="25" t="s">
        <v>188</v>
      </c>
      <c r="B35" s="30" t="s">
        <v>184</v>
      </c>
      <c r="C35" s="25" t="s">
        <v>193</v>
      </c>
      <c r="E35" s="30" t="s">
        <v>195</v>
      </c>
      <c r="F35" s="30">
        <v>30000</v>
      </c>
      <c r="G35" s="31">
        <v>45717000</v>
      </c>
      <c r="H35" s="32">
        <v>0.83320000000000005</v>
      </c>
      <c r="I35" s="34"/>
    </row>
    <row r="36" spans="1:9" ht="13">
      <c r="A36" s="25" t="s">
        <v>83</v>
      </c>
      <c r="B36" s="30" t="s">
        <v>184</v>
      </c>
      <c r="C36" s="25" t="s">
        <v>84</v>
      </c>
      <c r="E36" s="30" t="s">
        <v>85</v>
      </c>
      <c r="F36" s="30">
        <v>60000</v>
      </c>
      <c r="G36" s="31">
        <v>45480000</v>
      </c>
      <c r="H36" s="32">
        <v>0.82879999999999998</v>
      </c>
      <c r="I36" s="33"/>
    </row>
    <row r="37" spans="1:9" ht="13">
      <c r="A37" s="25" t="s">
        <v>88</v>
      </c>
      <c r="B37" s="30" t="s">
        <v>184</v>
      </c>
      <c r="C37" s="25" t="s">
        <v>89</v>
      </c>
      <c r="E37" s="30" t="s">
        <v>90</v>
      </c>
      <c r="F37" s="30">
        <v>30000</v>
      </c>
      <c r="G37" s="31">
        <v>41076000</v>
      </c>
      <c r="H37" s="32">
        <v>0.74860000000000004</v>
      </c>
      <c r="I37" s="33"/>
    </row>
    <row r="38" spans="1:9" ht="13">
      <c r="A38" s="25" t="s">
        <v>100</v>
      </c>
      <c r="B38" s="30" t="s">
        <v>184</v>
      </c>
      <c r="C38" s="25" t="s">
        <v>101</v>
      </c>
      <c r="E38" s="30" t="s">
        <v>102</v>
      </c>
      <c r="F38" s="30">
        <v>22000</v>
      </c>
      <c r="G38" s="31">
        <v>40475600</v>
      </c>
      <c r="H38" s="32">
        <v>0.73760000000000003</v>
      </c>
      <c r="I38" s="34"/>
    </row>
    <row r="39" spans="1:9" ht="13">
      <c r="A39" s="25" t="s">
        <v>107</v>
      </c>
      <c r="B39" s="30" t="s">
        <v>184</v>
      </c>
      <c r="C39" s="25" t="s">
        <v>108</v>
      </c>
      <c r="E39" s="30" t="s">
        <v>109</v>
      </c>
      <c r="F39" s="30">
        <v>40000</v>
      </c>
      <c r="G39" s="31">
        <v>39800000</v>
      </c>
      <c r="H39" s="32">
        <v>0.72529999999999994</v>
      </c>
      <c r="I39" s="33"/>
    </row>
    <row r="40" spans="1:9" ht="13">
      <c r="A40" s="25" t="s">
        <v>97</v>
      </c>
      <c r="B40" s="30" t="s">
        <v>184</v>
      </c>
      <c r="C40" s="25" t="s">
        <v>98</v>
      </c>
      <c r="E40" s="30" t="s">
        <v>99</v>
      </c>
      <c r="F40" s="30">
        <v>65000</v>
      </c>
      <c r="G40" s="31">
        <v>39484250</v>
      </c>
      <c r="H40" s="32">
        <v>0.71960000000000002</v>
      </c>
      <c r="I40" s="33"/>
    </row>
    <row r="41" spans="1:9" ht="13">
      <c r="A41" s="25" t="s">
        <v>91</v>
      </c>
      <c r="B41" s="30" t="s">
        <v>184</v>
      </c>
      <c r="C41" s="25" t="s">
        <v>92</v>
      </c>
      <c r="E41" s="30" t="s">
        <v>93</v>
      </c>
      <c r="F41" s="30">
        <v>40000</v>
      </c>
      <c r="G41" s="31">
        <v>38604000</v>
      </c>
      <c r="H41" s="32">
        <v>0.70350000000000001</v>
      </c>
      <c r="I41" s="33"/>
    </row>
    <row r="42" spans="1:9" ht="13">
      <c r="A42" s="25" t="s">
        <v>189</v>
      </c>
      <c r="B42" s="30" t="s">
        <v>184</v>
      </c>
      <c r="C42" s="25" t="s">
        <v>103</v>
      </c>
      <c r="E42" s="30" t="s">
        <v>104</v>
      </c>
      <c r="F42" s="30">
        <v>12000</v>
      </c>
      <c r="G42" s="31">
        <v>37821600</v>
      </c>
      <c r="H42" s="32">
        <v>0.68930000000000002</v>
      </c>
      <c r="I42" s="33"/>
    </row>
    <row r="43" spans="1:9" ht="13">
      <c r="A43" s="25" t="s">
        <v>94</v>
      </c>
      <c r="B43" s="30" t="s">
        <v>184</v>
      </c>
      <c r="C43" s="25" t="s">
        <v>95</v>
      </c>
      <c r="E43" s="30" t="s">
        <v>96</v>
      </c>
      <c r="F43" s="30">
        <v>30000</v>
      </c>
      <c r="G43" s="31">
        <v>36216000</v>
      </c>
      <c r="H43" s="32">
        <v>0.66</v>
      </c>
      <c r="I43" s="33"/>
    </row>
    <row r="44" spans="1:9" ht="13">
      <c r="A44" s="25" t="s">
        <v>52</v>
      </c>
      <c r="B44" s="30" t="s">
        <v>184</v>
      </c>
      <c r="C44" s="25" t="s">
        <v>53</v>
      </c>
      <c r="E44" s="30" t="s">
        <v>54</v>
      </c>
      <c r="F44" s="30">
        <v>1400</v>
      </c>
      <c r="G44" s="31">
        <v>35385000</v>
      </c>
      <c r="H44" s="32">
        <v>0.64490000000000003</v>
      </c>
      <c r="I44" s="33"/>
    </row>
    <row r="45" spans="1:9" ht="13">
      <c r="A45" s="25" t="s">
        <v>77</v>
      </c>
      <c r="B45" s="30" t="s">
        <v>184</v>
      </c>
      <c r="C45" s="25" t="s">
        <v>78</v>
      </c>
      <c r="E45" s="30" t="s">
        <v>79</v>
      </c>
      <c r="F45" s="30">
        <v>30000</v>
      </c>
      <c r="G45" s="31">
        <v>35304000</v>
      </c>
      <c r="H45" s="32">
        <v>0.64339999999999997</v>
      </c>
      <c r="I45" s="34"/>
    </row>
    <row r="46" spans="1:9" ht="13">
      <c r="A46" s="25" t="s">
        <v>113</v>
      </c>
      <c r="B46" s="30" t="s">
        <v>184</v>
      </c>
      <c r="C46" s="25" t="s">
        <v>20</v>
      </c>
      <c r="E46" s="30" t="s">
        <v>114</v>
      </c>
      <c r="F46" s="30">
        <v>250000</v>
      </c>
      <c r="G46" s="31">
        <v>35060000</v>
      </c>
      <c r="H46" s="32">
        <v>0.63890000000000002</v>
      </c>
      <c r="I46" s="33"/>
    </row>
    <row r="47" spans="1:9" ht="13">
      <c r="A47" s="25" t="s">
        <v>190</v>
      </c>
      <c r="B47" s="30" t="s">
        <v>184</v>
      </c>
      <c r="C47" s="25" t="s">
        <v>194</v>
      </c>
      <c r="E47" s="30" t="s">
        <v>196</v>
      </c>
      <c r="F47" s="30">
        <v>10000</v>
      </c>
      <c r="G47" s="31">
        <v>33557000</v>
      </c>
      <c r="H47" s="32">
        <v>0.61150000000000004</v>
      </c>
      <c r="I47" s="33"/>
    </row>
    <row r="48" spans="1:9" ht="13">
      <c r="A48" s="25" t="s">
        <v>110</v>
      </c>
      <c r="B48" s="30" t="s">
        <v>184</v>
      </c>
      <c r="C48" s="25" t="s">
        <v>111</v>
      </c>
      <c r="E48" s="30" t="s">
        <v>112</v>
      </c>
      <c r="F48" s="30">
        <v>13000</v>
      </c>
      <c r="G48" s="31">
        <v>29528200</v>
      </c>
      <c r="H48" s="32">
        <v>0.53810000000000002</v>
      </c>
      <c r="I48" s="33"/>
    </row>
    <row r="49" spans="1:9" ht="13">
      <c r="A49" s="25" t="s">
        <v>105</v>
      </c>
      <c r="B49" s="30" t="s">
        <v>184</v>
      </c>
      <c r="C49" s="25" t="s">
        <v>60</v>
      </c>
      <c r="E49" s="30" t="s">
        <v>106</v>
      </c>
      <c r="F49" s="30">
        <v>60000</v>
      </c>
      <c r="G49" s="31">
        <v>28569000</v>
      </c>
      <c r="H49" s="32">
        <v>0.52059999999999995</v>
      </c>
      <c r="I49" s="33"/>
    </row>
    <row r="50" spans="1:9" ht="13">
      <c r="A50" s="25" t="s">
        <v>115</v>
      </c>
      <c r="B50" s="30" t="s">
        <v>184</v>
      </c>
      <c r="C50" s="25" t="s">
        <v>116</v>
      </c>
      <c r="E50" s="30" t="s">
        <v>117</v>
      </c>
      <c r="F50" s="30">
        <v>2000</v>
      </c>
      <c r="G50" s="31">
        <v>27112000</v>
      </c>
      <c r="H50" s="32">
        <v>0.49409999999999998</v>
      </c>
      <c r="I50" s="33"/>
    </row>
    <row r="51" spans="1:9" ht="13">
      <c r="A51" s="25" t="s">
        <v>191</v>
      </c>
      <c r="B51" s="30" t="s">
        <v>184</v>
      </c>
      <c r="C51" s="25" t="s">
        <v>193</v>
      </c>
      <c r="E51" s="30" t="s">
        <v>197</v>
      </c>
      <c r="F51" s="30">
        <v>17000</v>
      </c>
      <c r="G51" s="31">
        <v>27013000</v>
      </c>
      <c r="H51" s="32">
        <v>0.49230000000000002</v>
      </c>
      <c r="I51" s="33"/>
    </row>
    <row r="52" spans="1:9" ht="13">
      <c r="A52" s="25" t="s">
        <v>118</v>
      </c>
      <c r="B52" s="30" t="s">
        <v>184</v>
      </c>
      <c r="C52" s="25" t="s">
        <v>119</v>
      </c>
      <c r="E52" s="30" t="s">
        <v>120</v>
      </c>
      <c r="F52" s="30">
        <v>55000</v>
      </c>
      <c r="G52" s="31">
        <v>24310000</v>
      </c>
      <c r="H52" s="32">
        <v>0.443</v>
      </c>
      <c r="I52" s="33"/>
    </row>
    <row r="53" spans="1:9" ht="13">
      <c r="A53" s="25" t="s">
        <v>121</v>
      </c>
      <c r="B53" s="30" t="s">
        <v>184</v>
      </c>
      <c r="C53" s="25" t="s">
        <v>122</v>
      </c>
      <c r="E53" s="30" t="s">
        <v>123</v>
      </c>
      <c r="F53" s="30">
        <v>21681</v>
      </c>
      <c r="G53" s="31">
        <v>19691768.25</v>
      </c>
      <c r="H53" s="32">
        <v>0.3589</v>
      </c>
      <c r="I53" s="34"/>
    </row>
    <row r="54" spans="1:9" ht="13">
      <c r="A54" s="25" t="s">
        <v>74</v>
      </c>
      <c r="B54" s="30" t="s">
        <v>184</v>
      </c>
      <c r="C54" s="25" t="s">
        <v>75</v>
      </c>
      <c r="E54" s="30" t="s">
        <v>76</v>
      </c>
      <c r="F54" s="30">
        <v>55000</v>
      </c>
      <c r="G54" s="31">
        <v>19393000</v>
      </c>
      <c r="H54" s="32">
        <v>0.35339999999999999</v>
      </c>
      <c r="I54" s="33"/>
    </row>
    <row r="55" spans="1:9" ht="13">
      <c r="A55" s="25" t="s">
        <v>66</v>
      </c>
      <c r="B55" s="30" t="s">
        <v>184</v>
      </c>
      <c r="C55" s="25" t="s">
        <v>67</v>
      </c>
      <c r="E55" s="30" t="s">
        <v>68</v>
      </c>
      <c r="F55" s="30">
        <v>400</v>
      </c>
      <c r="G55" s="31">
        <v>15278000</v>
      </c>
      <c r="H55" s="32">
        <v>0.27839999999999998</v>
      </c>
      <c r="I55" s="33"/>
    </row>
    <row r="56" spans="1:9" ht="13">
      <c r="A56" s="25" t="s">
        <v>86</v>
      </c>
      <c r="B56" s="30" t="s">
        <v>184</v>
      </c>
      <c r="C56" s="25" t="s">
        <v>23</v>
      </c>
      <c r="E56" s="30" t="s">
        <v>87</v>
      </c>
      <c r="F56" s="30">
        <v>19000</v>
      </c>
      <c r="G56" s="31">
        <v>7484100</v>
      </c>
      <c r="H56" s="32">
        <v>0.13639999999999999</v>
      </c>
      <c r="I56" s="33"/>
    </row>
    <row r="57" spans="1:9" ht="13">
      <c r="A57" s="35" t="s">
        <v>129</v>
      </c>
      <c r="B57" s="35"/>
      <c r="G57" s="36">
        <f>SUM(G14:G56)</f>
        <v>2699511093.8500004</v>
      </c>
      <c r="H57" s="37">
        <f>SUM(H14:H56)</f>
        <v>49.196199999999997</v>
      </c>
      <c r="I57" s="33"/>
    </row>
    <row r="58" spans="1:9" ht="13">
      <c r="A58" s="35" t="s">
        <v>124</v>
      </c>
      <c r="B58" s="35"/>
      <c r="C58" s="38"/>
      <c r="D58" s="38"/>
      <c r="E58" s="38"/>
      <c r="F58" s="39"/>
      <c r="G58" s="40"/>
      <c r="H58" s="11"/>
      <c r="I58" s="33"/>
    </row>
    <row r="59" spans="1:9">
      <c r="A59" s="25" t="s">
        <v>125</v>
      </c>
      <c r="B59" s="30" t="s">
        <v>184</v>
      </c>
      <c r="C59" s="25" t="s">
        <v>145</v>
      </c>
      <c r="E59" s="30" t="s">
        <v>126</v>
      </c>
      <c r="F59" s="30">
        <v>200000</v>
      </c>
      <c r="G59" s="30">
        <v>63776000</v>
      </c>
      <c r="H59" s="41">
        <v>1.1623000000000001</v>
      </c>
      <c r="I59" s="33"/>
    </row>
    <row r="60" spans="1:9">
      <c r="A60" s="25" t="s">
        <v>127</v>
      </c>
      <c r="B60" s="30" t="s">
        <v>184</v>
      </c>
      <c r="C60" s="25" t="s">
        <v>145</v>
      </c>
      <c r="E60" s="30" t="s">
        <v>128</v>
      </c>
      <c r="F60" s="30">
        <v>150000</v>
      </c>
      <c r="G60" s="30">
        <v>64075500</v>
      </c>
      <c r="H60" s="41">
        <v>1.1677</v>
      </c>
      <c r="I60" s="33"/>
    </row>
    <row r="61" spans="1:9" ht="13">
      <c r="A61" s="35" t="s">
        <v>129</v>
      </c>
      <c r="B61" s="35"/>
      <c r="C61" s="38"/>
      <c r="D61" s="38"/>
      <c r="E61" s="38"/>
      <c r="F61" s="42"/>
      <c r="G61" s="36">
        <f>SUM(G59:G60)</f>
        <v>127851500</v>
      </c>
      <c r="H61" s="37">
        <f>SUM(H59:H60)</f>
        <v>2.33</v>
      </c>
      <c r="I61" s="33"/>
    </row>
    <row r="62" spans="1:9" ht="13">
      <c r="A62" s="35" t="s">
        <v>227</v>
      </c>
      <c r="B62" s="35"/>
      <c r="C62" s="38"/>
      <c r="D62" s="38"/>
      <c r="E62" s="38"/>
      <c r="F62" s="42"/>
      <c r="G62" s="11"/>
      <c r="H62" s="11"/>
      <c r="I62" s="33"/>
    </row>
    <row r="63" spans="1:9" ht="13">
      <c r="A63" s="55" t="s">
        <v>228</v>
      </c>
      <c r="B63" s="35"/>
      <c r="C63" s="38"/>
      <c r="D63" s="38"/>
      <c r="E63" s="38"/>
      <c r="F63" s="42"/>
      <c r="G63" s="16" t="s">
        <v>228</v>
      </c>
      <c r="H63" s="16" t="s">
        <v>228</v>
      </c>
      <c r="I63" s="33"/>
    </row>
    <row r="64" spans="1:9" ht="13">
      <c r="A64" s="35" t="s">
        <v>129</v>
      </c>
      <c r="B64" s="35"/>
      <c r="C64" s="38"/>
      <c r="D64" s="38"/>
      <c r="E64" s="38"/>
      <c r="F64" s="42"/>
      <c r="G64" s="11"/>
      <c r="H64" s="11"/>
      <c r="I64" s="33"/>
    </row>
    <row r="65" spans="1:10" ht="13">
      <c r="A65" s="43" t="s">
        <v>130</v>
      </c>
      <c r="B65" s="3"/>
      <c r="C65" s="9"/>
      <c r="D65" s="9"/>
      <c r="E65" s="9"/>
      <c r="F65" s="10"/>
      <c r="G65" s="44">
        <f>SUM(G57+G61)</f>
        <v>2827362593.8500004</v>
      </c>
      <c r="H65" s="20">
        <f>SUM(H57,H61)</f>
        <v>51.526199999999996</v>
      </c>
      <c r="I65" s="33"/>
    </row>
    <row r="66" spans="1:10" ht="13">
      <c r="A66" s="35"/>
      <c r="B66" s="35"/>
      <c r="C66" s="38"/>
      <c r="D66" s="38"/>
      <c r="E66" s="38"/>
      <c r="F66" s="42"/>
      <c r="G66" s="15"/>
      <c r="H66" s="11"/>
      <c r="I66" s="33"/>
    </row>
    <row r="67" spans="1:10" ht="13">
      <c r="A67" s="45" t="s">
        <v>131</v>
      </c>
      <c r="B67" s="45"/>
      <c r="C67" s="38"/>
      <c r="D67" s="38"/>
      <c r="E67" s="38"/>
      <c r="F67" s="42"/>
      <c r="G67" s="15"/>
      <c r="H67" s="11"/>
      <c r="I67" s="33"/>
    </row>
    <row r="68" spans="1:10" ht="13">
      <c r="A68" s="35" t="s">
        <v>132</v>
      </c>
      <c r="B68" s="35"/>
      <c r="C68" s="38"/>
      <c r="D68" s="38"/>
      <c r="E68" s="38"/>
      <c r="F68" s="42"/>
      <c r="G68" s="42"/>
      <c r="H68" s="46"/>
      <c r="I68" s="33"/>
    </row>
    <row r="69" spans="1:10">
      <c r="A69" s="25" t="s">
        <v>133</v>
      </c>
      <c r="B69" s="25" t="s">
        <v>184</v>
      </c>
      <c r="C69" s="25" t="s">
        <v>134</v>
      </c>
      <c r="D69" s="25" t="s">
        <v>185</v>
      </c>
      <c r="F69" s="30">
        <v>4500</v>
      </c>
      <c r="G69" s="30">
        <v>59728500</v>
      </c>
      <c r="H69" s="41">
        <v>1.0885</v>
      </c>
      <c r="J69" s="33"/>
    </row>
    <row r="70" spans="1:10">
      <c r="A70" s="25" t="s">
        <v>199</v>
      </c>
      <c r="B70" s="25" t="s">
        <v>184</v>
      </c>
      <c r="C70" s="25" t="s">
        <v>151</v>
      </c>
      <c r="D70" s="25" t="s">
        <v>185</v>
      </c>
      <c r="F70" s="30">
        <v>300000</v>
      </c>
      <c r="G70" s="30">
        <v>56670000</v>
      </c>
      <c r="H70" s="41">
        <v>1.0327999999999999</v>
      </c>
      <c r="J70" s="34"/>
    </row>
    <row r="71" spans="1:10">
      <c r="A71" s="25" t="s">
        <v>200</v>
      </c>
      <c r="B71" s="25" t="s">
        <v>184</v>
      </c>
      <c r="C71" s="25" t="s">
        <v>214</v>
      </c>
      <c r="D71" s="25" t="s">
        <v>185</v>
      </c>
      <c r="F71" s="30">
        <v>180000</v>
      </c>
      <c r="G71" s="30">
        <v>48312000</v>
      </c>
      <c r="H71" s="41">
        <v>0.88039999999999996</v>
      </c>
      <c r="J71" s="33"/>
    </row>
    <row r="72" spans="1:10">
      <c r="A72" s="25" t="s">
        <v>201</v>
      </c>
      <c r="B72" s="25" t="s">
        <v>184</v>
      </c>
      <c r="C72" s="25" t="s">
        <v>151</v>
      </c>
      <c r="D72" s="25" t="s">
        <v>185</v>
      </c>
      <c r="F72" s="30">
        <v>40000</v>
      </c>
      <c r="G72" s="30">
        <v>46840000</v>
      </c>
      <c r="H72" s="41">
        <v>0.85360000000000003</v>
      </c>
      <c r="J72" s="33"/>
    </row>
    <row r="73" spans="1:10">
      <c r="A73" s="25" t="s">
        <v>137</v>
      </c>
      <c r="B73" s="25" t="s">
        <v>184</v>
      </c>
      <c r="C73" s="25" t="s">
        <v>53</v>
      </c>
      <c r="D73" s="25" t="s">
        <v>185</v>
      </c>
      <c r="F73" s="30">
        <v>4000</v>
      </c>
      <c r="G73" s="30">
        <v>46460000</v>
      </c>
      <c r="H73" s="41">
        <v>0.84670000000000001</v>
      </c>
      <c r="J73" s="33"/>
    </row>
    <row r="74" spans="1:10">
      <c r="A74" s="25" t="s">
        <v>202</v>
      </c>
      <c r="B74" s="25" t="s">
        <v>184</v>
      </c>
      <c r="C74" s="25" t="s">
        <v>136</v>
      </c>
      <c r="D74" s="25" t="s">
        <v>185</v>
      </c>
      <c r="F74" s="30">
        <v>337500</v>
      </c>
      <c r="G74" s="30">
        <v>44698500</v>
      </c>
      <c r="H74" s="41">
        <v>0.81459999999999999</v>
      </c>
      <c r="J74" s="33"/>
    </row>
    <row r="75" spans="1:10">
      <c r="A75" s="25" t="s">
        <v>203</v>
      </c>
      <c r="B75" s="25" t="s">
        <v>184</v>
      </c>
      <c r="C75" s="25" t="s">
        <v>143</v>
      </c>
      <c r="D75" s="25" t="s">
        <v>185</v>
      </c>
      <c r="F75" s="30">
        <v>40000</v>
      </c>
      <c r="G75" s="30">
        <v>44552000</v>
      </c>
      <c r="H75" s="41">
        <v>0.81189999999999996</v>
      </c>
      <c r="J75" s="33"/>
    </row>
    <row r="76" spans="1:10">
      <c r="A76" s="25" t="s">
        <v>204</v>
      </c>
      <c r="B76" s="25" t="s">
        <v>184</v>
      </c>
      <c r="C76" s="25" t="s">
        <v>150</v>
      </c>
      <c r="D76" s="25" t="s">
        <v>185</v>
      </c>
      <c r="F76" s="30">
        <v>41250</v>
      </c>
      <c r="G76" s="30">
        <v>39447375</v>
      </c>
      <c r="H76" s="41">
        <v>0.71889999999999998</v>
      </c>
      <c r="J76" s="33"/>
    </row>
    <row r="77" spans="1:10">
      <c r="A77" s="25" t="s">
        <v>138</v>
      </c>
      <c r="B77" s="25" t="s">
        <v>184</v>
      </c>
      <c r="C77" s="25" t="s">
        <v>134</v>
      </c>
      <c r="D77" s="25" t="s">
        <v>185</v>
      </c>
      <c r="F77" s="30">
        <v>7500</v>
      </c>
      <c r="G77" s="30">
        <v>37203750</v>
      </c>
      <c r="H77" s="41">
        <v>0.67800000000000005</v>
      </c>
      <c r="J77" s="34"/>
    </row>
    <row r="78" spans="1:10">
      <c r="A78" s="25" t="s">
        <v>141</v>
      </c>
      <c r="B78" s="25" t="s">
        <v>184</v>
      </c>
      <c r="C78" s="25" t="s">
        <v>142</v>
      </c>
      <c r="D78" s="25" t="s">
        <v>185</v>
      </c>
      <c r="F78" s="30">
        <v>118500</v>
      </c>
      <c r="G78" s="30">
        <v>35698125</v>
      </c>
      <c r="H78" s="41">
        <v>0.65059999999999996</v>
      </c>
      <c r="J78" s="33"/>
    </row>
    <row r="79" spans="1:10">
      <c r="A79" s="25" t="s">
        <v>135</v>
      </c>
      <c r="B79" s="25" t="s">
        <v>184</v>
      </c>
      <c r="C79" s="25" t="s">
        <v>136</v>
      </c>
      <c r="D79" s="25" t="s">
        <v>185</v>
      </c>
      <c r="F79" s="30">
        <v>131625</v>
      </c>
      <c r="G79" s="30">
        <v>35670375</v>
      </c>
      <c r="H79" s="41">
        <v>0.65010000000000001</v>
      </c>
      <c r="J79" s="33"/>
    </row>
    <row r="80" spans="1:10">
      <c r="A80" s="25" t="s">
        <v>205</v>
      </c>
      <c r="B80" s="25" t="s">
        <v>184</v>
      </c>
      <c r="C80" s="25" t="s">
        <v>148</v>
      </c>
      <c r="D80" s="25" t="s">
        <v>185</v>
      </c>
      <c r="F80" s="30">
        <v>64750</v>
      </c>
      <c r="G80" s="47">
        <v>32857387.5</v>
      </c>
      <c r="H80" s="41">
        <v>0.5988</v>
      </c>
      <c r="J80" s="33"/>
    </row>
    <row r="81" spans="1:10">
      <c r="A81" s="25" t="s">
        <v>139</v>
      </c>
      <c r="B81" s="25" t="s">
        <v>184</v>
      </c>
      <c r="C81" s="25" t="s">
        <v>140</v>
      </c>
      <c r="D81" s="25" t="s">
        <v>185</v>
      </c>
      <c r="F81" s="30">
        <v>24000</v>
      </c>
      <c r="G81" s="30">
        <v>30787200</v>
      </c>
      <c r="H81" s="41">
        <v>0.56110000000000004</v>
      </c>
      <c r="J81" s="34"/>
    </row>
    <row r="82" spans="1:10">
      <c r="A82" s="25" t="s">
        <v>206</v>
      </c>
      <c r="B82" s="25" t="s">
        <v>184</v>
      </c>
      <c r="C82" s="25" t="s">
        <v>149</v>
      </c>
      <c r="D82" s="25" t="s">
        <v>185</v>
      </c>
      <c r="F82" s="30">
        <v>22500</v>
      </c>
      <c r="G82" s="30">
        <v>27967500</v>
      </c>
      <c r="H82" s="41">
        <v>0.50970000000000004</v>
      </c>
      <c r="J82" s="33"/>
    </row>
    <row r="83" spans="1:10">
      <c r="A83" s="25" t="s">
        <v>146</v>
      </c>
      <c r="B83" s="25" t="s">
        <v>184</v>
      </c>
      <c r="C83" s="25" t="s">
        <v>147</v>
      </c>
      <c r="D83" s="25" t="s">
        <v>185</v>
      </c>
      <c r="F83" s="30">
        <v>97500</v>
      </c>
      <c r="G83" s="30">
        <v>25364625</v>
      </c>
      <c r="H83" s="41">
        <v>0.4622</v>
      </c>
      <c r="J83" s="33"/>
    </row>
    <row r="84" spans="1:10">
      <c r="A84" s="25" t="s">
        <v>207</v>
      </c>
      <c r="B84" s="25" t="s">
        <v>184</v>
      </c>
      <c r="C84" s="25" t="s">
        <v>215</v>
      </c>
      <c r="D84" s="25" t="s">
        <v>186</v>
      </c>
      <c r="F84" s="30">
        <v>-16000</v>
      </c>
      <c r="G84" s="30">
        <v>-23353600</v>
      </c>
      <c r="H84" s="41">
        <v>-0.42559999999999998</v>
      </c>
      <c r="J84" s="34"/>
    </row>
    <row r="85" spans="1:10">
      <c r="A85" s="25" t="s">
        <v>153</v>
      </c>
      <c r="B85" s="25" t="s">
        <v>184</v>
      </c>
      <c r="C85" s="25" t="s">
        <v>147</v>
      </c>
      <c r="D85" s="25" t="s">
        <v>186</v>
      </c>
      <c r="F85" s="30">
        <v>-121250</v>
      </c>
      <c r="G85" s="30">
        <v>-30724750</v>
      </c>
      <c r="H85" s="41">
        <v>-0.55989999999999995</v>
      </c>
      <c r="J85" s="33"/>
    </row>
    <row r="86" spans="1:10">
      <c r="A86" s="25" t="s">
        <v>208</v>
      </c>
      <c r="B86" s="25" t="s">
        <v>184</v>
      </c>
      <c r="C86" s="25" t="s">
        <v>143</v>
      </c>
      <c r="D86" s="25" t="s">
        <v>186</v>
      </c>
      <c r="F86" s="30">
        <v>-125000</v>
      </c>
      <c r="G86" s="30">
        <v>-42525000</v>
      </c>
      <c r="H86" s="41">
        <v>-0.77500000000000002</v>
      </c>
      <c r="J86" s="33"/>
    </row>
    <row r="87" spans="1:10">
      <c r="A87" s="25" t="s">
        <v>209</v>
      </c>
      <c r="B87" s="25" t="s">
        <v>184</v>
      </c>
      <c r="C87" s="25" t="s">
        <v>134</v>
      </c>
      <c r="D87" s="25" t="s">
        <v>186</v>
      </c>
      <c r="F87" s="30">
        <v>-22000</v>
      </c>
      <c r="G87" s="30">
        <v>-42814200</v>
      </c>
      <c r="H87" s="41">
        <v>-0.7802</v>
      </c>
      <c r="J87" s="33"/>
    </row>
    <row r="88" spans="1:10">
      <c r="A88" s="25" t="s">
        <v>210</v>
      </c>
      <c r="B88" s="25" t="s">
        <v>184</v>
      </c>
      <c r="C88" s="25" t="s">
        <v>151</v>
      </c>
      <c r="D88" s="25" t="s">
        <v>186</v>
      </c>
      <c r="F88" s="30">
        <v>-30000</v>
      </c>
      <c r="G88" s="30">
        <v>-43053000</v>
      </c>
      <c r="H88" s="41">
        <v>-0.78459999999999996</v>
      </c>
      <c r="J88" s="33"/>
    </row>
    <row r="89" spans="1:10">
      <c r="A89" s="25" t="s">
        <v>152</v>
      </c>
      <c r="B89" s="25" t="s">
        <v>184</v>
      </c>
      <c r="C89" s="25" t="s">
        <v>136</v>
      </c>
      <c r="D89" s="25" t="s">
        <v>186</v>
      </c>
      <c r="F89" s="30">
        <v>-150000</v>
      </c>
      <c r="G89" s="30">
        <v>-43305000</v>
      </c>
      <c r="H89" s="41">
        <v>-0.78920000000000001</v>
      </c>
      <c r="J89" s="33"/>
    </row>
    <row r="90" spans="1:10">
      <c r="A90" s="25" t="s">
        <v>211</v>
      </c>
      <c r="B90" s="25" t="s">
        <v>184</v>
      </c>
      <c r="C90" s="25" t="s">
        <v>150</v>
      </c>
      <c r="D90" s="25" t="s">
        <v>186</v>
      </c>
      <c r="F90" s="30">
        <v>-28125</v>
      </c>
      <c r="G90" s="47">
        <v>-43686562.5</v>
      </c>
      <c r="H90" s="41">
        <v>-0.79610000000000003</v>
      </c>
      <c r="J90" s="33"/>
    </row>
    <row r="91" spans="1:10">
      <c r="A91" s="25" t="s">
        <v>212</v>
      </c>
      <c r="B91" s="25" t="s">
        <v>184</v>
      </c>
      <c r="C91" s="25" t="s">
        <v>134</v>
      </c>
      <c r="D91" s="25" t="s">
        <v>186</v>
      </c>
      <c r="F91" s="30">
        <v>-4500</v>
      </c>
      <c r="G91" s="30">
        <v>-46244250</v>
      </c>
      <c r="H91" s="41">
        <v>-0.84279999999999999</v>
      </c>
      <c r="J91" s="33"/>
    </row>
    <row r="92" spans="1:10">
      <c r="A92" s="25" t="s">
        <v>213</v>
      </c>
      <c r="B92" s="25" t="s">
        <v>184</v>
      </c>
      <c r="C92" s="25" t="s">
        <v>192</v>
      </c>
      <c r="D92" s="25" t="s">
        <v>186</v>
      </c>
      <c r="F92" s="30">
        <v>-8000</v>
      </c>
      <c r="G92" s="30">
        <v>-47576000</v>
      </c>
      <c r="H92" s="41">
        <v>-0.86699999999999999</v>
      </c>
      <c r="J92" s="33"/>
    </row>
    <row r="93" spans="1:10" ht="13">
      <c r="A93" s="43" t="s">
        <v>129</v>
      </c>
      <c r="B93" s="48"/>
      <c r="C93" s="48"/>
      <c r="D93" s="48"/>
      <c r="E93" s="48"/>
      <c r="F93" s="9"/>
      <c r="G93" s="44">
        <f>SUM(G69:G92)</f>
        <v>248974975</v>
      </c>
      <c r="H93" s="49">
        <f>SUM(H69:H92)</f>
        <v>4.5374999999999988</v>
      </c>
      <c r="J93" s="33"/>
    </row>
    <row r="94" spans="1:10">
      <c r="J94" s="33"/>
    </row>
    <row r="95" spans="1:10" ht="13">
      <c r="A95" s="38" t="s">
        <v>154</v>
      </c>
      <c r="B95" s="38"/>
      <c r="C95" s="38"/>
      <c r="D95" s="38"/>
      <c r="E95" s="38"/>
      <c r="F95" s="38"/>
      <c r="G95" s="39"/>
      <c r="H95" s="15"/>
      <c r="I95" s="11"/>
      <c r="J95" s="33"/>
    </row>
    <row r="96" spans="1:10">
      <c r="A96" s="25" t="s">
        <v>216</v>
      </c>
      <c r="B96" s="25" t="s">
        <v>184</v>
      </c>
      <c r="D96" s="25" t="s">
        <v>217</v>
      </c>
      <c r="F96" s="30">
        <v>11700</v>
      </c>
      <c r="G96" s="30">
        <v>1838070</v>
      </c>
      <c r="H96" s="41">
        <v>3.349715025469413E-2</v>
      </c>
      <c r="J96" s="33"/>
    </row>
    <row r="97" spans="1:10">
      <c r="A97" s="25" t="s">
        <v>72</v>
      </c>
      <c r="B97" s="25" t="s">
        <v>184</v>
      </c>
      <c r="C97" s="25" t="s">
        <v>136</v>
      </c>
      <c r="D97" s="25" t="s">
        <v>155</v>
      </c>
      <c r="F97" s="30">
        <v>-49000</v>
      </c>
      <c r="G97" s="30">
        <v>44803150</v>
      </c>
      <c r="H97" s="41">
        <v>-0.82</v>
      </c>
      <c r="J97" s="33"/>
    </row>
    <row r="98" spans="1:10">
      <c r="A98" s="25" t="s">
        <v>55</v>
      </c>
      <c r="B98" s="25" t="s">
        <v>184</v>
      </c>
      <c r="C98" s="25" t="s">
        <v>53</v>
      </c>
      <c r="D98" s="25" t="s">
        <v>155</v>
      </c>
      <c r="F98" s="30">
        <v>-105000</v>
      </c>
      <c r="G98" s="30">
        <v>47024250</v>
      </c>
      <c r="H98" s="41">
        <v>-0.86</v>
      </c>
      <c r="J98" s="33"/>
    </row>
    <row r="99" spans="1:10">
      <c r="A99" s="25" t="s">
        <v>57</v>
      </c>
      <c r="B99" s="25" t="s">
        <v>184</v>
      </c>
      <c r="C99" s="25" t="s">
        <v>144</v>
      </c>
      <c r="D99" s="25" t="s">
        <v>155</v>
      </c>
      <c r="F99" s="30">
        <v>-12000</v>
      </c>
      <c r="G99" s="30">
        <v>52860000</v>
      </c>
      <c r="H99" s="41">
        <v>-0.96</v>
      </c>
      <c r="J99" s="33"/>
    </row>
    <row r="100" spans="1:10">
      <c r="A100" s="25" t="s">
        <v>25</v>
      </c>
      <c r="B100" s="25" t="s">
        <v>184</v>
      </c>
      <c r="C100" s="25" t="s">
        <v>156</v>
      </c>
      <c r="D100" s="25" t="s">
        <v>155</v>
      </c>
      <c r="F100" s="30">
        <v>-14000</v>
      </c>
      <c r="G100" s="30">
        <v>57071000</v>
      </c>
      <c r="H100" s="41">
        <v>-1.04</v>
      </c>
      <c r="J100" s="33"/>
    </row>
    <row r="101" spans="1:10">
      <c r="A101" s="25" t="s">
        <v>36</v>
      </c>
      <c r="B101" s="25" t="s">
        <v>184</v>
      </c>
      <c r="C101" s="25" t="s">
        <v>148</v>
      </c>
      <c r="D101" s="25" t="s">
        <v>155</v>
      </c>
      <c r="F101" s="30">
        <v>-140000</v>
      </c>
      <c r="G101" s="30">
        <v>57589000</v>
      </c>
      <c r="H101" s="41">
        <v>-1.05</v>
      </c>
      <c r="J101" s="33"/>
    </row>
    <row r="102" spans="1:10">
      <c r="A102" s="25" t="s">
        <v>133</v>
      </c>
      <c r="B102" s="25" t="s">
        <v>184</v>
      </c>
      <c r="C102" s="25" t="s">
        <v>134</v>
      </c>
      <c r="D102" s="25" t="s">
        <v>155</v>
      </c>
      <c r="F102" s="30">
        <v>-4500</v>
      </c>
      <c r="G102" s="30">
        <v>59071500</v>
      </c>
      <c r="H102" s="41">
        <v>-1.08</v>
      </c>
      <c r="J102" s="33"/>
    </row>
    <row r="103" spans="1:10">
      <c r="A103" s="25" t="s">
        <v>28</v>
      </c>
      <c r="B103" s="25" t="s">
        <v>184</v>
      </c>
      <c r="C103" s="25" t="s">
        <v>157</v>
      </c>
      <c r="D103" s="25" t="s">
        <v>155</v>
      </c>
      <c r="F103" s="30">
        <v>-38000</v>
      </c>
      <c r="G103" s="30">
        <v>69502000</v>
      </c>
      <c r="H103" s="41">
        <v>-1.27</v>
      </c>
      <c r="J103" s="33"/>
    </row>
    <row r="104" spans="1:10" ht="13">
      <c r="A104" s="3" t="s">
        <v>129</v>
      </c>
      <c r="B104" s="48"/>
      <c r="C104" s="48"/>
      <c r="D104" s="48"/>
      <c r="E104" s="50"/>
      <c r="F104" s="48"/>
      <c r="G104" s="44">
        <f>SUM(G96:G103)</f>
        <v>389758970</v>
      </c>
      <c r="H104" s="22">
        <f>SUM(H96:H103)</f>
        <v>-7.0465028497453055</v>
      </c>
    </row>
    <row r="105" spans="1:10" ht="13">
      <c r="A105" s="6"/>
      <c r="E105" s="39"/>
      <c r="G105" s="51"/>
      <c r="H105" s="33"/>
    </row>
    <row r="106" spans="1:10" ht="13">
      <c r="A106" s="3" t="s">
        <v>130</v>
      </c>
      <c r="B106" s="48"/>
      <c r="C106" s="48"/>
      <c r="D106" s="48"/>
      <c r="E106" s="50"/>
      <c r="F106" s="48"/>
      <c r="G106" s="44">
        <f>SUM(G93,G104)</f>
        <v>638733945</v>
      </c>
      <c r="H106" s="22">
        <f>SUM(H93,H104)</f>
        <v>-2.5090028497453067</v>
      </c>
    </row>
    <row r="107" spans="1:10" ht="13">
      <c r="A107" s="6"/>
      <c r="E107" s="52"/>
      <c r="G107" s="51"/>
      <c r="H107" s="11"/>
      <c r="I107" s="33"/>
    </row>
    <row r="108" spans="1:10" ht="13">
      <c r="A108" s="6" t="s">
        <v>158</v>
      </c>
      <c r="B108" s="2"/>
      <c r="C108" s="1"/>
      <c r="D108" s="1"/>
      <c r="E108" s="1"/>
      <c r="F108" s="7"/>
      <c r="G108" s="7"/>
      <c r="H108" s="7"/>
      <c r="I108" s="33"/>
    </row>
    <row r="109" spans="1:10" ht="13">
      <c r="A109" s="6" t="s">
        <v>13</v>
      </c>
      <c r="B109" s="2"/>
      <c r="C109" s="1"/>
      <c r="D109" s="1"/>
      <c r="E109" s="1"/>
      <c r="F109" s="7"/>
      <c r="G109" s="7"/>
      <c r="H109" s="7"/>
      <c r="I109" s="33"/>
    </row>
    <row r="110" spans="1:10" ht="13">
      <c r="A110" s="6" t="s">
        <v>159</v>
      </c>
      <c r="B110" s="2"/>
      <c r="C110" s="1"/>
      <c r="D110" s="1"/>
      <c r="E110" s="1"/>
      <c r="F110" s="7"/>
      <c r="G110" s="7"/>
      <c r="H110" s="7"/>
      <c r="I110" s="33"/>
    </row>
    <row r="111" spans="1:10">
      <c r="A111" s="1" t="s">
        <v>160</v>
      </c>
      <c r="B111" s="41">
        <v>6.89</v>
      </c>
      <c r="C111" s="1" t="s">
        <v>161</v>
      </c>
      <c r="D111" s="1"/>
      <c r="E111" s="30" t="s">
        <v>162</v>
      </c>
      <c r="F111" s="30">
        <v>1000000</v>
      </c>
      <c r="G111" s="30">
        <v>100541700</v>
      </c>
      <c r="H111" s="41">
        <v>1.8323</v>
      </c>
      <c r="I111" s="33"/>
    </row>
    <row r="112" spans="1:10">
      <c r="A112" s="1" t="s">
        <v>163</v>
      </c>
      <c r="B112" s="41">
        <v>7.83</v>
      </c>
      <c r="C112" s="1" t="s">
        <v>161</v>
      </c>
      <c r="D112" s="1"/>
      <c r="E112" s="30" t="s">
        <v>164</v>
      </c>
      <c r="F112" s="30">
        <v>1000000</v>
      </c>
      <c r="G112" s="30">
        <v>98212300</v>
      </c>
      <c r="H112" s="41">
        <v>1.7898000000000001</v>
      </c>
      <c r="I112" s="33"/>
    </row>
    <row r="113" spans="1:9" ht="13">
      <c r="A113" s="6" t="s">
        <v>165</v>
      </c>
      <c r="B113" s="13"/>
      <c r="C113" s="6"/>
      <c r="D113" s="6"/>
      <c r="E113" s="23"/>
      <c r="F113" s="30"/>
      <c r="G113" s="44">
        <f>SUM(G111,G112)</f>
        <v>198754000</v>
      </c>
      <c r="H113" s="13">
        <f>SUM(H111,H112)</f>
        <v>3.6221000000000001</v>
      </c>
      <c r="I113" s="33"/>
    </row>
    <row r="114" spans="1:9" ht="13">
      <c r="A114" s="6" t="s">
        <v>166</v>
      </c>
      <c r="B114" s="16"/>
      <c r="C114" s="1"/>
      <c r="D114" s="1"/>
      <c r="E114" s="24"/>
      <c r="F114" s="30"/>
      <c r="G114" s="21"/>
      <c r="H114" s="16"/>
      <c r="I114" s="33"/>
    </row>
    <row r="115" spans="1:9">
      <c r="A115" s="1" t="s">
        <v>173</v>
      </c>
      <c r="B115" s="30">
        <v>8.6300000000000008</v>
      </c>
      <c r="C115" s="1" t="s">
        <v>174</v>
      </c>
      <c r="D115" s="1"/>
      <c r="E115" s="30" t="s">
        <v>175</v>
      </c>
      <c r="F115" s="30">
        <v>5000</v>
      </c>
      <c r="G115" s="47">
        <v>501922000</v>
      </c>
      <c r="H115" s="41">
        <v>9.1471</v>
      </c>
      <c r="I115" s="33"/>
    </row>
    <row r="116" spans="1:9">
      <c r="A116" s="1" t="s">
        <v>167</v>
      </c>
      <c r="B116" s="41">
        <v>8.1300000000000008</v>
      </c>
      <c r="C116" s="1" t="s">
        <v>168</v>
      </c>
      <c r="D116" s="1"/>
      <c r="E116" s="30" t="s">
        <v>169</v>
      </c>
      <c r="F116" s="30">
        <v>250</v>
      </c>
      <c r="G116" s="47">
        <v>249270500</v>
      </c>
      <c r="H116" s="41">
        <v>4.5427</v>
      </c>
      <c r="I116" s="33"/>
    </row>
    <row r="117" spans="1:9">
      <c r="A117" s="1" t="s">
        <v>176</v>
      </c>
      <c r="B117" s="41">
        <v>7.84</v>
      </c>
      <c r="C117" s="1" t="s">
        <v>168</v>
      </c>
      <c r="D117" s="1"/>
      <c r="E117" s="30" t="s">
        <v>177</v>
      </c>
      <c r="F117" s="30">
        <v>2500</v>
      </c>
      <c r="G117" s="47">
        <v>248433000</v>
      </c>
      <c r="H117" s="41">
        <v>4.5274999999999999</v>
      </c>
      <c r="I117" s="33"/>
    </row>
    <row r="118" spans="1:9">
      <c r="A118" s="1" t="s">
        <v>170</v>
      </c>
      <c r="B118" s="41">
        <v>8.91</v>
      </c>
      <c r="C118" s="1" t="s">
        <v>171</v>
      </c>
      <c r="D118" s="1"/>
      <c r="E118" s="30" t="s">
        <v>172</v>
      </c>
      <c r="F118" s="30">
        <v>2000</v>
      </c>
      <c r="G118" s="47">
        <v>197971000</v>
      </c>
      <c r="H118" s="41">
        <v>3.6078000000000001</v>
      </c>
      <c r="I118" s="33"/>
    </row>
    <row r="119" spans="1:9" ht="13">
      <c r="A119" s="6" t="s">
        <v>178</v>
      </c>
      <c r="B119" s="13"/>
      <c r="C119" s="6"/>
      <c r="D119" s="6"/>
      <c r="E119" s="6"/>
      <c r="F119" s="53"/>
      <c r="G119" s="44">
        <f>SUM(G115:G118)</f>
        <v>1197596500</v>
      </c>
      <c r="H119" s="13">
        <f>SUM(H115:H118)</f>
        <v>21.825100000000003</v>
      </c>
      <c r="I119" s="33"/>
    </row>
    <row r="120" spans="1:9" ht="13">
      <c r="A120" s="6" t="s">
        <v>179</v>
      </c>
      <c r="B120" s="16"/>
      <c r="C120" s="1"/>
      <c r="D120" s="1"/>
      <c r="E120" s="1"/>
      <c r="F120" s="21"/>
      <c r="G120" s="21"/>
      <c r="H120" s="16"/>
      <c r="I120" s="33"/>
    </row>
    <row r="121" spans="1:9">
      <c r="A121" s="1" t="s">
        <v>218</v>
      </c>
      <c r="B121" s="41">
        <v>5.3009550599999997</v>
      </c>
      <c r="C121" s="1" t="s">
        <v>161</v>
      </c>
      <c r="D121" s="1"/>
      <c r="E121" s="24" t="s">
        <v>222</v>
      </c>
      <c r="F121" s="24">
        <v>1000000</v>
      </c>
      <c r="G121" s="24">
        <v>99855000</v>
      </c>
      <c r="H121" s="16">
        <v>1.8198000000000001</v>
      </c>
      <c r="I121" s="33"/>
    </row>
    <row r="122" spans="1:9">
      <c r="A122" s="1" t="s">
        <v>219</v>
      </c>
      <c r="B122" s="41">
        <v>5.4181985199999998</v>
      </c>
      <c r="C122" s="1" t="s">
        <v>161</v>
      </c>
      <c r="D122" s="1"/>
      <c r="E122" s="24" t="s">
        <v>223</v>
      </c>
      <c r="F122" s="24">
        <v>2500000</v>
      </c>
      <c r="G122" s="24">
        <v>247829500</v>
      </c>
      <c r="H122" s="16">
        <v>4.5164999999999997</v>
      </c>
      <c r="I122" s="33"/>
    </row>
    <row r="123" spans="1:9">
      <c r="A123" s="1" t="s">
        <v>220</v>
      </c>
      <c r="B123" s="41">
        <v>5.5000099100000002</v>
      </c>
      <c r="C123" s="1" t="s">
        <v>161</v>
      </c>
      <c r="D123" s="1"/>
      <c r="E123" s="24" t="s">
        <v>224</v>
      </c>
      <c r="F123" s="24">
        <v>2500000</v>
      </c>
      <c r="G123" s="24">
        <v>247538250</v>
      </c>
      <c r="H123" s="16">
        <v>4.5111999999999997</v>
      </c>
      <c r="I123" s="33"/>
    </row>
    <row r="124" spans="1:9">
      <c r="A124" s="1" t="s">
        <v>221</v>
      </c>
      <c r="B124" s="41">
        <v>5.5247928499999999</v>
      </c>
      <c r="C124" s="1" t="s">
        <v>161</v>
      </c>
      <c r="D124" s="1"/>
      <c r="E124" s="24" t="s">
        <v>225</v>
      </c>
      <c r="F124" s="24">
        <v>2000000</v>
      </c>
      <c r="G124" s="24">
        <v>197607200</v>
      </c>
      <c r="H124" s="16">
        <v>3.6012</v>
      </c>
      <c r="I124" s="33"/>
    </row>
    <row r="125" spans="1:9" ht="13">
      <c r="A125" s="6" t="s">
        <v>180</v>
      </c>
      <c r="B125" s="11"/>
      <c r="C125" s="6"/>
      <c r="D125" s="6"/>
      <c r="E125" s="6"/>
      <c r="F125" s="12"/>
      <c r="G125" s="44">
        <f>SUM(G121:G124)</f>
        <v>792829950</v>
      </c>
      <c r="H125" s="13">
        <f>SUM(H121:H124)</f>
        <v>14.448700000000001</v>
      </c>
      <c r="I125" s="33"/>
    </row>
    <row r="126" spans="1:9" ht="13">
      <c r="A126" s="6" t="s">
        <v>181</v>
      </c>
      <c r="B126" s="11"/>
      <c r="C126" s="6"/>
      <c r="D126" s="6"/>
      <c r="E126" s="6"/>
      <c r="F126" s="12"/>
      <c r="G126" s="54">
        <v>187645201.94</v>
      </c>
      <c r="H126" s="13">
        <v>3.4197000000000002</v>
      </c>
      <c r="I126" s="33"/>
    </row>
    <row r="127" spans="1:9" ht="13">
      <c r="A127" s="3" t="s">
        <v>182</v>
      </c>
      <c r="B127" s="4"/>
      <c r="C127" s="3"/>
      <c r="D127" s="3"/>
      <c r="E127" s="3"/>
      <c r="F127" s="5"/>
      <c r="G127" s="22">
        <f>G126+G125+G119+G113+G65</f>
        <v>5204188245.7900009</v>
      </c>
      <c r="H127" s="22">
        <f>H126+H125+H119+H113+H65+H96</f>
        <v>94.875297150254696</v>
      </c>
      <c r="I127" s="33"/>
    </row>
    <row r="128" spans="1:9" ht="13">
      <c r="A128" s="6" t="s">
        <v>226</v>
      </c>
      <c r="C128" s="6"/>
      <c r="D128" s="6"/>
      <c r="E128" s="6"/>
      <c r="F128" s="12"/>
      <c r="G128" s="22">
        <f>G129-G127</f>
        <v>283054657.03699875</v>
      </c>
      <c r="H128" s="22">
        <f>H129-H127</f>
        <v>5.1247028497453044</v>
      </c>
      <c r="I128" s="33"/>
    </row>
    <row r="129" spans="1:9" ht="13">
      <c r="A129" s="3" t="s">
        <v>183</v>
      </c>
      <c r="B129" s="48"/>
      <c r="C129" s="3"/>
      <c r="D129" s="3"/>
      <c r="E129" s="3"/>
      <c r="F129" s="5"/>
      <c r="G129" s="22">
        <v>5487242902.8269997</v>
      </c>
      <c r="H129" s="22">
        <v>100</v>
      </c>
      <c r="I129" s="33"/>
    </row>
    <row r="130" spans="1:9" ht="13">
      <c r="A130" s="6"/>
      <c r="C130" s="6"/>
      <c r="D130" s="6"/>
      <c r="E130" s="6"/>
      <c r="F130" s="12"/>
      <c r="G130" s="15"/>
      <c r="H130" s="12"/>
      <c r="I130" s="33"/>
    </row>
    <row r="131" spans="1:9" ht="13">
      <c r="A131" s="6" t="s">
        <v>229</v>
      </c>
      <c r="G131" s="15"/>
      <c r="H131" s="33"/>
      <c r="I131" s="33"/>
    </row>
    <row r="132" spans="1:9" ht="13">
      <c r="A132" s="6" t="s">
        <v>230</v>
      </c>
    </row>
    <row r="133" spans="1:9" ht="13">
      <c r="A133" s="6" t="s">
        <v>265</v>
      </c>
      <c r="B133" s="2" t="s">
        <v>260</v>
      </c>
    </row>
    <row r="134" spans="1:9" ht="13">
      <c r="A134" s="6" t="s">
        <v>231</v>
      </c>
    </row>
    <row r="135" spans="1:9">
      <c r="A135" s="1" t="s">
        <v>268</v>
      </c>
    </row>
    <row r="136" spans="1:9">
      <c r="A136" s="1" t="s">
        <v>268</v>
      </c>
    </row>
    <row r="137" spans="1:9">
      <c r="A137" s="1" t="s">
        <v>269</v>
      </c>
    </row>
    <row r="138" spans="1:9">
      <c r="A138" s="1" t="s">
        <v>269</v>
      </c>
    </row>
    <row r="139" spans="1:9">
      <c r="A139" s="1" t="s">
        <v>270</v>
      </c>
    </row>
    <row r="140" spans="1:9">
      <c r="A140" s="1" t="s">
        <v>271</v>
      </c>
    </row>
    <row r="141" spans="1:9">
      <c r="A141" s="1" t="s">
        <v>266</v>
      </c>
    </row>
    <row r="142" spans="1:9">
      <c r="A142" s="1" t="s">
        <v>267</v>
      </c>
    </row>
    <row r="144" spans="1:9" ht="13">
      <c r="A144" s="6" t="s">
        <v>262</v>
      </c>
    </row>
    <row r="145" spans="1:2">
      <c r="A145" s="1" t="s">
        <v>232</v>
      </c>
    </row>
    <row r="146" spans="1:2">
      <c r="A146" s="1" t="s">
        <v>233</v>
      </c>
      <c r="B146" s="25" t="s">
        <v>228</v>
      </c>
    </row>
    <row r="147" spans="1:2">
      <c r="A147" s="1" t="s">
        <v>234</v>
      </c>
      <c r="B147" s="2" t="s">
        <v>228</v>
      </c>
    </row>
    <row r="148" spans="1:2">
      <c r="A148" s="1"/>
      <c r="B148" s="2"/>
    </row>
    <row r="149" spans="1:2" ht="13">
      <c r="A149" s="56" t="s">
        <v>264</v>
      </c>
      <c r="B149" s="61"/>
    </row>
    <row r="150" spans="1:2" ht="13">
      <c r="A150" s="56" t="s">
        <v>263</v>
      </c>
      <c r="B150" s="78" t="s">
        <v>235</v>
      </c>
    </row>
    <row r="151" spans="1:2" ht="13">
      <c r="A151" s="58" t="s">
        <v>236</v>
      </c>
      <c r="B151" s="79">
        <v>0</v>
      </c>
    </row>
    <row r="152" spans="1:2">
      <c r="A152" s="58" t="s">
        <v>273</v>
      </c>
      <c r="B152" s="71">
        <v>0</v>
      </c>
    </row>
    <row r="153" spans="1:2">
      <c r="A153" s="58" t="s">
        <v>237</v>
      </c>
      <c r="B153" s="71">
        <v>0</v>
      </c>
    </row>
    <row r="154" spans="1:2" ht="13">
      <c r="A154" s="58" t="s">
        <v>238</v>
      </c>
      <c r="B154" s="61">
        <v>7000</v>
      </c>
    </row>
    <row r="155" spans="1:2">
      <c r="A155" s="58" t="s">
        <v>239</v>
      </c>
      <c r="B155" s="71">
        <v>0</v>
      </c>
    </row>
    <row r="156" spans="1:2">
      <c r="A156" s="58" t="s">
        <v>240</v>
      </c>
      <c r="B156" s="71">
        <v>0</v>
      </c>
    </row>
    <row r="157" spans="1:2">
      <c r="A157" s="58" t="s">
        <v>272</v>
      </c>
      <c r="B157" s="71">
        <v>0</v>
      </c>
    </row>
    <row r="158" spans="1:2" ht="13">
      <c r="A158" s="56" t="s">
        <v>241</v>
      </c>
      <c r="B158" s="61">
        <v>7000</v>
      </c>
    </row>
    <row r="159" spans="1:2">
      <c r="A159" s="1"/>
      <c r="B159" s="2"/>
    </row>
    <row r="160" spans="1:2">
      <c r="A160" s="1"/>
      <c r="B160" s="2"/>
    </row>
    <row r="161" spans="1:6" ht="13">
      <c r="A161" s="56" t="s">
        <v>242</v>
      </c>
      <c r="B161" s="57">
        <v>46173</v>
      </c>
      <c r="C161" s="58"/>
      <c r="D161" s="59"/>
      <c r="E161" s="59"/>
      <c r="F161" s="60"/>
    </row>
    <row r="162" spans="1:6" ht="13">
      <c r="A162" s="56" t="s">
        <v>243</v>
      </c>
      <c r="B162" s="61" t="s">
        <v>244</v>
      </c>
      <c r="C162" s="56" t="s">
        <v>245</v>
      </c>
      <c r="D162" s="62"/>
      <c r="E162" s="62" t="s">
        <v>246</v>
      </c>
      <c r="F162" s="63" t="s">
        <v>247</v>
      </c>
    </row>
    <row r="163" spans="1:6">
      <c r="A163" s="64" t="s">
        <v>228</v>
      </c>
      <c r="B163" s="65" t="s">
        <v>228</v>
      </c>
      <c r="C163" s="64" t="s">
        <v>228</v>
      </c>
      <c r="D163" s="66"/>
      <c r="E163" s="66" t="s">
        <v>228</v>
      </c>
      <c r="F163" s="67" t="s">
        <v>228</v>
      </c>
    </row>
    <row r="164" spans="1:6" ht="13">
      <c r="A164" s="6"/>
      <c r="B164" s="11"/>
      <c r="C164" s="6"/>
      <c r="D164" s="6"/>
      <c r="E164" s="6"/>
      <c r="F164" s="12"/>
    </row>
    <row r="165" spans="1:6" ht="13">
      <c r="A165" s="56" t="s">
        <v>248</v>
      </c>
      <c r="B165" s="57">
        <v>46173</v>
      </c>
      <c r="C165" s="58"/>
      <c r="D165" s="58"/>
      <c r="E165" s="58"/>
      <c r="F165" s="68"/>
    </row>
    <row r="166" spans="1:6" ht="13">
      <c r="A166" s="56" t="s">
        <v>243</v>
      </c>
      <c r="B166" s="61" t="s">
        <v>244</v>
      </c>
      <c r="C166" s="56" t="s">
        <v>245</v>
      </c>
      <c r="D166" s="56"/>
      <c r="E166" s="56" t="s">
        <v>246</v>
      </c>
      <c r="F166" s="63" t="s">
        <v>247</v>
      </c>
    </row>
    <row r="167" spans="1:6">
      <c r="A167" s="72" t="s">
        <v>133</v>
      </c>
      <c r="B167" s="72" t="s">
        <v>185</v>
      </c>
      <c r="C167" s="75">
        <v>13383.411099999999</v>
      </c>
      <c r="D167" s="76"/>
      <c r="E167" s="74">
        <v>13273</v>
      </c>
      <c r="F167" s="82">
        <f>B158</f>
        <v>7000</v>
      </c>
    </row>
    <row r="168" spans="1:6">
      <c r="A168" s="72" t="s">
        <v>199</v>
      </c>
      <c r="B168" s="72" t="s">
        <v>185</v>
      </c>
      <c r="C168" s="75">
        <v>179.95689999999999</v>
      </c>
      <c r="D168" s="76"/>
      <c r="E168" s="74">
        <v>188.9</v>
      </c>
      <c r="F168" s="82"/>
    </row>
    <row r="169" spans="1:6">
      <c r="A169" s="72" t="s">
        <v>200</v>
      </c>
      <c r="B169" s="72" t="s">
        <v>185</v>
      </c>
      <c r="C169" s="75">
        <v>290.32310000000001</v>
      </c>
      <c r="D169" s="76"/>
      <c r="E169" s="74">
        <v>268.39999999999998</v>
      </c>
      <c r="F169" s="82"/>
    </row>
    <row r="170" spans="1:6">
      <c r="A170" s="72" t="s">
        <v>201</v>
      </c>
      <c r="B170" s="72" t="s">
        <v>185</v>
      </c>
      <c r="C170" s="75">
        <v>1190.7059999999999</v>
      </c>
      <c r="D170" s="76"/>
      <c r="E170" s="74">
        <v>1171</v>
      </c>
      <c r="F170" s="82"/>
    </row>
    <row r="171" spans="1:6">
      <c r="A171" s="72" t="s">
        <v>137</v>
      </c>
      <c r="B171" s="72" t="s">
        <v>185</v>
      </c>
      <c r="C171" s="75">
        <v>11544.112499999999</v>
      </c>
      <c r="D171" s="76"/>
      <c r="E171" s="74">
        <v>11615</v>
      </c>
      <c r="F171" s="82"/>
    </row>
    <row r="172" spans="1:6">
      <c r="A172" s="72" t="s">
        <v>202</v>
      </c>
      <c r="B172" s="72" t="s">
        <v>185</v>
      </c>
      <c r="C172" s="75">
        <v>128.93459999999999</v>
      </c>
      <c r="D172" s="76"/>
      <c r="E172" s="74">
        <v>132.44</v>
      </c>
      <c r="F172" s="82"/>
    </row>
    <row r="173" spans="1:6">
      <c r="A173" s="72" t="s">
        <v>203</v>
      </c>
      <c r="B173" s="72" t="s">
        <v>185</v>
      </c>
      <c r="C173" s="75">
        <v>1098.17</v>
      </c>
      <c r="D173" s="76"/>
      <c r="E173" s="74">
        <v>1113.8</v>
      </c>
      <c r="F173" s="82"/>
    </row>
    <row r="174" spans="1:6">
      <c r="A174" s="72" t="s">
        <v>204</v>
      </c>
      <c r="B174" s="72" t="s">
        <v>185</v>
      </c>
      <c r="C174" s="75">
        <v>948.4</v>
      </c>
      <c r="D174" s="76"/>
      <c r="E174" s="74">
        <v>956.3</v>
      </c>
      <c r="F174" s="82"/>
    </row>
    <row r="175" spans="1:6">
      <c r="A175" s="72" t="s">
        <v>138</v>
      </c>
      <c r="B175" s="72" t="s">
        <v>185</v>
      </c>
      <c r="C175" s="75">
        <v>5006.6499999999996</v>
      </c>
      <c r="D175" s="76"/>
      <c r="E175" s="74">
        <v>4960.5</v>
      </c>
      <c r="F175" s="82"/>
    </row>
    <row r="176" spans="1:6">
      <c r="A176" s="72" t="s">
        <v>141</v>
      </c>
      <c r="B176" s="72" t="s">
        <v>185</v>
      </c>
      <c r="C176" s="75">
        <v>309.16750000000002</v>
      </c>
      <c r="D176" s="76"/>
      <c r="E176" s="74">
        <v>301.25</v>
      </c>
      <c r="F176" s="82"/>
    </row>
    <row r="177" spans="1:6">
      <c r="A177" s="72" t="s">
        <v>135</v>
      </c>
      <c r="B177" s="72" t="s">
        <v>185</v>
      </c>
      <c r="C177" s="75">
        <v>267.11</v>
      </c>
      <c r="D177" s="76"/>
      <c r="E177" s="74">
        <v>271</v>
      </c>
      <c r="F177" s="82"/>
    </row>
    <row r="178" spans="1:6">
      <c r="A178" s="72" t="s">
        <v>205</v>
      </c>
      <c r="B178" s="72" t="s">
        <v>185</v>
      </c>
      <c r="C178" s="75">
        <v>523.35</v>
      </c>
      <c r="D178" s="76"/>
      <c r="E178" s="74">
        <v>507.45</v>
      </c>
      <c r="F178" s="82"/>
    </row>
    <row r="179" spans="1:6">
      <c r="A179" s="72" t="s">
        <v>139</v>
      </c>
      <c r="B179" s="72" t="s">
        <v>185</v>
      </c>
      <c r="C179" s="75">
        <v>1305.3367000000001</v>
      </c>
      <c r="D179" s="76"/>
      <c r="E179" s="74">
        <v>1282.8</v>
      </c>
      <c r="F179" s="82"/>
    </row>
    <row r="180" spans="1:6">
      <c r="A180" s="72" t="s">
        <v>206</v>
      </c>
      <c r="B180" s="72" t="s">
        <v>185</v>
      </c>
      <c r="C180" s="75">
        <v>1279.0033000000001</v>
      </c>
      <c r="D180" s="76"/>
      <c r="E180" s="74">
        <v>1243</v>
      </c>
      <c r="F180" s="82"/>
    </row>
    <row r="181" spans="1:6">
      <c r="A181" s="72" t="s">
        <v>146</v>
      </c>
      <c r="B181" s="72" t="s">
        <v>185</v>
      </c>
      <c r="C181" s="75">
        <v>257.94529999999997</v>
      </c>
      <c r="D181" s="76"/>
      <c r="E181" s="74">
        <v>260.14999999999998</v>
      </c>
      <c r="F181" s="82"/>
    </row>
    <row r="182" spans="1:6">
      <c r="A182" s="72" t="s">
        <v>207</v>
      </c>
      <c r="B182" s="72" t="s">
        <v>186</v>
      </c>
      <c r="C182" s="75">
        <v>1528.9875</v>
      </c>
      <c r="D182" s="76"/>
      <c r="E182" s="74">
        <v>1459.6</v>
      </c>
      <c r="F182" s="82"/>
    </row>
    <row r="183" spans="1:6">
      <c r="A183" s="72" t="s">
        <v>153</v>
      </c>
      <c r="B183" s="72" t="s">
        <v>186</v>
      </c>
      <c r="C183" s="75">
        <v>246.33260000000001</v>
      </c>
      <c r="D183" s="76"/>
      <c r="E183" s="74">
        <v>253.4</v>
      </c>
      <c r="F183" s="82"/>
    </row>
    <row r="184" spans="1:6">
      <c r="A184" s="72" t="s">
        <v>208</v>
      </c>
      <c r="B184" s="72" t="s">
        <v>186</v>
      </c>
      <c r="C184" s="75">
        <v>342.44400000000002</v>
      </c>
      <c r="D184" s="76"/>
      <c r="E184" s="74">
        <v>340.2</v>
      </c>
      <c r="F184" s="82"/>
    </row>
    <row r="185" spans="1:6">
      <c r="A185" s="72" t="s">
        <v>209</v>
      </c>
      <c r="B185" s="72" t="s">
        <v>186</v>
      </c>
      <c r="C185" s="75">
        <v>1832.2312999999999</v>
      </c>
      <c r="D185" s="76"/>
      <c r="E185" s="74">
        <v>1946.1</v>
      </c>
      <c r="F185" s="82"/>
    </row>
    <row r="186" spans="1:6">
      <c r="A186" s="72" t="s">
        <v>210</v>
      </c>
      <c r="B186" s="72" t="s">
        <v>186</v>
      </c>
      <c r="C186" s="75">
        <v>1416.5437999999999</v>
      </c>
      <c r="D186" s="76"/>
      <c r="E186" s="74">
        <v>1435.1</v>
      </c>
      <c r="F186" s="82"/>
    </row>
    <row r="187" spans="1:6">
      <c r="A187" s="72" t="s">
        <v>152</v>
      </c>
      <c r="B187" s="72" t="s">
        <v>186</v>
      </c>
      <c r="C187" s="75">
        <v>289.17669999999998</v>
      </c>
      <c r="D187" s="76"/>
      <c r="E187" s="74">
        <v>288.7</v>
      </c>
      <c r="F187" s="82"/>
    </row>
    <row r="188" spans="1:6">
      <c r="A188" s="72" t="s">
        <v>211</v>
      </c>
      <c r="B188" s="72" t="s">
        <v>186</v>
      </c>
      <c r="C188" s="75">
        <v>1519.3711000000001</v>
      </c>
      <c r="D188" s="76"/>
      <c r="E188" s="74">
        <v>1553.3</v>
      </c>
      <c r="F188" s="82"/>
    </row>
    <row r="189" spans="1:6">
      <c r="A189" s="72" t="s">
        <v>212</v>
      </c>
      <c r="B189" s="72" t="s">
        <v>186</v>
      </c>
      <c r="C189" s="75">
        <v>10409.1</v>
      </c>
      <c r="D189" s="76"/>
      <c r="E189" s="74">
        <v>10276.5</v>
      </c>
      <c r="F189" s="82"/>
    </row>
    <row r="190" spans="1:6">
      <c r="A190" s="72" t="s">
        <v>213</v>
      </c>
      <c r="B190" s="72" t="s">
        <v>186</v>
      </c>
      <c r="C190" s="75">
        <v>5911.05</v>
      </c>
      <c r="D190" s="76"/>
      <c r="E190" s="74">
        <v>5947</v>
      </c>
      <c r="F190" s="82"/>
    </row>
    <row r="192" spans="1:6">
      <c r="B192" s="33"/>
    </row>
    <row r="193" spans="1:6">
      <c r="B193" s="33"/>
      <c r="C193" s="58"/>
      <c r="D193" s="59"/>
      <c r="E193" s="59"/>
      <c r="F193" s="60"/>
    </row>
    <row r="194" spans="1:6" ht="13">
      <c r="A194" s="56" t="s">
        <v>249</v>
      </c>
      <c r="B194" s="57">
        <v>46173</v>
      </c>
      <c r="C194" s="69" t="s">
        <v>251</v>
      </c>
      <c r="D194" s="69"/>
      <c r="E194" s="69" t="s">
        <v>252</v>
      </c>
      <c r="F194" s="69" t="s">
        <v>253</v>
      </c>
    </row>
    <row r="195" spans="1:6" ht="13">
      <c r="A195" s="56" t="s">
        <v>243</v>
      </c>
      <c r="B195" s="69" t="s">
        <v>250</v>
      </c>
      <c r="C195" s="76">
        <v>11700</v>
      </c>
      <c r="D195" s="58"/>
      <c r="E195" s="76">
        <v>147.99969999999999</v>
      </c>
      <c r="F195" s="77">
        <v>157.1</v>
      </c>
    </row>
    <row r="196" spans="1:6">
      <c r="A196" s="72" t="s">
        <v>216</v>
      </c>
      <c r="B196" s="72" t="s">
        <v>217</v>
      </c>
      <c r="C196" s="76">
        <v>-49000</v>
      </c>
      <c r="D196" s="58"/>
      <c r="E196" s="76">
        <v>21.526299999999999</v>
      </c>
      <c r="F196" s="77">
        <v>3.9</v>
      </c>
    </row>
    <row r="197" spans="1:6">
      <c r="A197" s="72" t="s">
        <v>72</v>
      </c>
      <c r="B197" s="72" t="s">
        <v>155</v>
      </c>
      <c r="C197" s="76">
        <v>-105000</v>
      </c>
      <c r="D197" s="58"/>
      <c r="E197" s="76">
        <v>5.2910000000000004</v>
      </c>
      <c r="F197" s="77">
        <v>4.95</v>
      </c>
    </row>
    <row r="198" spans="1:6">
      <c r="A198" s="72" t="s">
        <v>55</v>
      </c>
      <c r="B198" s="72" t="s">
        <v>155</v>
      </c>
      <c r="C198" s="76">
        <v>-12000</v>
      </c>
      <c r="D198" s="58"/>
      <c r="E198" s="76">
        <v>11.026400000000001</v>
      </c>
      <c r="F198" s="77">
        <v>10.6</v>
      </c>
    </row>
    <row r="199" spans="1:6">
      <c r="A199" s="72" t="s">
        <v>57</v>
      </c>
      <c r="B199" s="72" t="s">
        <v>155</v>
      </c>
      <c r="C199" s="76">
        <v>-14000</v>
      </c>
      <c r="D199" s="58"/>
      <c r="E199" s="76">
        <v>5.2629999999999999</v>
      </c>
      <c r="F199" s="77">
        <v>3.95</v>
      </c>
    </row>
    <row r="200" spans="1:6">
      <c r="A200" s="72" t="s">
        <v>25</v>
      </c>
      <c r="B200" s="72" t="s">
        <v>155</v>
      </c>
      <c r="C200" s="76">
        <v>-140000</v>
      </c>
      <c r="D200" s="58"/>
      <c r="E200" s="76">
        <v>52.510599999999997</v>
      </c>
      <c r="F200" s="77">
        <v>45.15</v>
      </c>
    </row>
    <row r="201" spans="1:6">
      <c r="A201" s="72" t="s">
        <v>36</v>
      </c>
      <c r="B201" s="72" t="s">
        <v>155</v>
      </c>
      <c r="C201" s="76">
        <v>-4500</v>
      </c>
      <c r="D201" s="58"/>
      <c r="E201" s="76">
        <v>74.44</v>
      </c>
      <c r="F201" s="77">
        <v>53.15</v>
      </c>
    </row>
    <row r="202" spans="1:6">
      <c r="A202" s="72" t="s">
        <v>133</v>
      </c>
      <c r="B202" s="72" t="s">
        <v>155</v>
      </c>
      <c r="C202" s="76">
        <v>-38000</v>
      </c>
      <c r="D202" s="58"/>
      <c r="E202" s="76">
        <v>190.0378</v>
      </c>
      <c r="F202" s="77">
        <v>154.4</v>
      </c>
    </row>
    <row r="203" spans="1:6">
      <c r="A203" s="72" t="s">
        <v>28</v>
      </c>
      <c r="B203" s="72" t="s">
        <v>155</v>
      </c>
    </row>
    <row r="204" spans="1:6">
      <c r="C204" s="72"/>
      <c r="D204" s="72"/>
      <c r="E204" s="72"/>
      <c r="F204" s="72"/>
    </row>
    <row r="205" spans="1:6" ht="13">
      <c r="A205" s="56" t="s">
        <v>254</v>
      </c>
      <c r="B205" s="57">
        <v>46173</v>
      </c>
      <c r="C205" s="69" t="s">
        <v>251</v>
      </c>
      <c r="D205" s="69"/>
      <c r="E205" s="69" t="s">
        <v>252</v>
      </c>
      <c r="F205" s="69" t="s">
        <v>253</v>
      </c>
    </row>
    <row r="206" spans="1:6" ht="13">
      <c r="A206" s="56" t="s">
        <v>243</v>
      </c>
      <c r="B206" s="69" t="s">
        <v>250</v>
      </c>
      <c r="C206" s="73"/>
      <c r="D206" s="73"/>
      <c r="E206" s="72"/>
      <c r="F206" s="72"/>
    </row>
    <row r="207" spans="1:6">
      <c r="A207" s="72" t="s">
        <v>228</v>
      </c>
      <c r="B207" s="72"/>
      <c r="C207" s="1"/>
      <c r="D207" s="1"/>
      <c r="E207" s="1"/>
      <c r="F207" s="7"/>
    </row>
    <row r="208" spans="1:6" ht="13">
      <c r="A208" s="6"/>
      <c r="B208" s="70"/>
      <c r="C208" s="58"/>
      <c r="D208" s="58"/>
      <c r="E208" s="58"/>
      <c r="F208" s="68"/>
    </row>
    <row r="209" spans="1:6" ht="13">
      <c r="A209" s="56" t="s">
        <v>261</v>
      </c>
      <c r="B209" s="71"/>
      <c r="C209" s="56" t="s">
        <v>256</v>
      </c>
      <c r="D209" s="56"/>
      <c r="E209" s="56" t="s">
        <v>257</v>
      </c>
      <c r="F209" s="63" t="s">
        <v>258</v>
      </c>
    </row>
    <row r="210" spans="1:6" ht="13">
      <c r="A210" s="56" t="s">
        <v>243</v>
      </c>
      <c r="B210" s="61" t="s">
        <v>255</v>
      </c>
      <c r="C210" s="58" t="s">
        <v>228</v>
      </c>
      <c r="D210" s="58"/>
      <c r="E210" s="58" t="s">
        <v>228</v>
      </c>
      <c r="F210" s="68" t="s">
        <v>228</v>
      </c>
    </row>
    <row r="211" spans="1:6">
      <c r="A211" s="58" t="s">
        <v>228</v>
      </c>
      <c r="B211" s="71" t="s">
        <v>228</v>
      </c>
    </row>
    <row r="213" spans="1:6">
      <c r="A213" s="25" t="s">
        <v>259</v>
      </c>
    </row>
  </sheetData>
  <mergeCells count="3">
    <mergeCell ref="B3:B8"/>
    <mergeCell ref="C3:C8"/>
    <mergeCell ref="F167:F19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6BB0-2AA8-4DBE-AECB-5EB3FEC2BAA1}">
  <dimension ref="A1:J135"/>
  <sheetViews>
    <sheetView tabSelected="1" zoomScale="99" workbookViewId="0">
      <selection sqref="A1:XFD1048576"/>
    </sheetView>
  </sheetViews>
  <sheetFormatPr defaultRowHeight="12.5"/>
  <cols>
    <col min="1" max="1" width="78.81640625" style="25" customWidth="1"/>
    <col min="2" max="2" width="38.1796875" style="25" bestFit="1" customWidth="1"/>
    <col min="3" max="3" width="38" style="25" customWidth="1"/>
    <col min="4" max="4" width="38.36328125" style="25" customWidth="1"/>
    <col min="5" max="5" width="37.26953125" style="25" bestFit="1" customWidth="1"/>
    <col min="6" max="6" width="32" style="25" bestFit="1" customWidth="1"/>
    <col min="7" max="7" width="23.26953125" style="25" bestFit="1" customWidth="1"/>
    <col min="8" max="8" width="11.26953125" style="25" bestFit="1" customWidth="1"/>
    <col min="9" max="9" width="22.6328125" style="25" customWidth="1"/>
    <col min="10" max="10" width="14.36328125" style="25" bestFit="1" customWidth="1"/>
    <col min="11" max="11" width="23.36328125" style="25" customWidth="1"/>
    <col min="12" max="16384" width="8.7265625" style="25"/>
  </cols>
  <sheetData>
    <row r="1" spans="1:10" ht="47" customHeight="1">
      <c r="A1" s="17" t="s">
        <v>274</v>
      </c>
      <c r="B1" s="18"/>
      <c r="C1" s="18"/>
      <c r="D1" s="18"/>
      <c r="E1" s="18"/>
      <c r="F1" s="18"/>
      <c r="G1" s="18"/>
      <c r="H1" s="18"/>
    </row>
    <row r="2" spans="1:10">
      <c r="A2" s="1"/>
      <c r="B2" s="2"/>
      <c r="C2" s="1"/>
      <c r="D2" s="1"/>
      <c r="E2" s="1"/>
    </row>
    <row r="3" spans="1:10" ht="41.5" customHeight="1">
      <c r="A3" s="26" t="s">
        <v>274</v>
      </c>
      <c r="B3" s="80"/>
      <c r="C3" s="81"/>
      <c r="D3" s="27"/>
      <c r="E3" s="14"/>
    </row>
    <row r="4" spans="1:10" ht="25">
      <c r="A4" s="28" t="s">
        <v>1</v>
      </c>
      <c r="B4" s="80"/>
      <c r="C4" s="81"/>
      <c r="D4" s="27"/>
    </row>
    <row r="5" spans="1:10">
      <c r="A5" s="29" t="s">
        <v>2</v>
      </c>
      <c r="B5" s="80"/>
      <c r="C5" s="81"/>
      <c r="D5" s="27"/>
      <c r="E5" s="14"/>
    </row>
    <row r="6" spans="1:10">
      <c r="A6" s="29" t="s">
        <v>3</v>
      </c>
      <c r="B6" s="80"/>
      <c r="C6" s="81"/>
      <c r="D6" s="27"/>
      <c r="E6" s="14"/>
    </row>
    <row r="7" spans="1:10" ht="25">
      <c r="A7" s="28" t="s">
        <v>4</v>
      </c>
      <c r="B7" s="80"/>
      <c r="C7" s="81"/>
      <c r="D7" s="27"/>
      <c r="E7" s="14"/>
    </row>
    <row r="8" spans="1:10" ht="25">
      <c r="A8" s="29" t="s">
        <v>5</v>
      </c>
      <c r="B8" s="80"/>
      <c r="C8" s="81"/>
      <c r="D8" s="27"/>
      <c r="E8" s="14"/>
    </row>
    <row r="9" spans="1:10">
      <c r="A9" s="29" t="s">
        <v>187</v>
      </c>
    </row>
    <row r="11" spans="1:10" ht="13">
      <c r="A11" s="3" t="s">
        <v>6</v>
      </c>
      <c r="B11" s="3" t="s">
        <v>7</v>
      </c>
      <c r="C11" s="3" t="s">
        <v>8</v>
      </c>
      <c r="D11" s="3"/>
      <c r="E11" s="19" t="s">
        <v>9</v>
      </c>
      <c r="F11" s="19" t="s">
        <v>10</v>
      </c>
      <c r="G11" s="19" t="s">
        <v>198</v>
      </c>
      <c r="H11" s="19" t="s">
        <v>11</v>
      </c>
    </row>
    <row r="12" spans="1:10" ht="13">
      <c r="A12" s="6" t="s">
        <v>12</v>
      </c>
      <c r="B12" s="6"/>
      <c r="C12" s="1"/>
      <c r="D12" s="1"/>
      <c r="E12" s="1"/>
      <c r="F12" s="7"/>
      <c r="G12" s="8"/>
      <c r="H12" s="7"/>
    </row>
    <row r="13" spans="1:10" ht="13">
      <c r="A13" s="6" t="s">
        <v>13</v>
      </c>
      <c r="B13" s="6"/>
      <c r="C13" s="1"/>
      <c r="D13" s="1"/>
      <c r="E13" s="1"/>
      <c r="F13" s="7"/>
      <c r="G13" s="8"/>
      <c r="H13" s="7"/>
    </row>
    <row r="14" spans="1:10">
      <c r="A14" s="25" t="s">
        <v>17</v>
      </c>
      <c r="B14" s="25" t="s">
        <v>184</v>
      </c>
      <c r="C14" s="25" t="s">
        <v>15</v>
      </c>
      <c r="E14" s="30" t="s">
        <v>18</v>
      </c>
      <c r="F14" s="30">
        <v>130000</v>
      </c>
      <c r="G14" s="30">
        <v>96791500</v>
      </c>
      <c r="H14" s="41">
        <v>4.6566999999999998</v>
      </c>
      <c r="I14" s="33"/>
    </row>
    <row r="15" spans="1:10">
      <c r="A15" s="25" t="s">
        <v>14</v>
      </c>
      <c r="B15" s="25" t="s">
        <v>184</v>
      </c>
      <c r="C15" s="25" t="s">
        <v>15</v>
      </c>
      <c r="E15" s="30" t="s">
        <v>16</v>
      </c>
      <c r="F15" s="30">
        <v>60000</v>
      </c>
      <c r="G15" s="30">
        <v>75384000</v>
      </c>
      <c r="H15" s="41">
        <v>3.6267999999999998</v>
      </c>
      <c r="I15" s="34"/>
    </row>
    <row r="16" spans="1:10">
      <c r="A16" s="25" t="s">
        <v>22</v>
      </c>
      <c r="B16" s="25" t="s">
        <v>184</v>
      </c>
      <c r="C16" s="25" t="s">
        <v>23</v>
      </c>
      <c r="E16" s="30" t="s">
        <v>24</v>
      </c>
      <c r="F16" s="30">
        <v>20000</v>
      </c>
      <c r="G16" s="30">
        <v>60912000</v>
      </c>
      <c r="H16" s="41">
        <v>2.9304999999999999</v>
      </c>
      <c r="I16" s="34"/>
      <c r="J16" s="34"/>
    </row>
    <row r="17" spans="1:9">
      <c r="A17" s="25" t="s">
        <v>201</v>
      </c>
      <c r="B17" s="25" t="s">
        <v>184</v>
      </c>
      <c r="C17" s="25" t="s">
        <v>111</v>
      </c>
      <c r="E17" s="30" t="s">
        <v>275</v>
      </c>
      <c r="F17" s="30">
        <v>40000</v>
      </c>
      <c r="G17" s="30">
        <v>46436000</v>
      </c>
      <c r="H17" s="41">
        <v>2.2341000000000002</v>
      </c>
      <c r="I17" s="33"/>
    </row>
    <row r="18" spans="1:9">
      <c r="A18" s="25" t="s">
        <v>200</v>
      </c>
      <c r="B18" s="25" t="s">
        <v>184</v>
      </c>
      <c r="C18" s="25" t="s">
        <v>60</v>
      </c>
      <c r="E18" s="30" t="s">
        <v>276</v>
      </c>
      <c r="F18" s="30">
        <v>150000</v>
      </c>
      <c r="G18" s="30">
        <v>39810000</v>
      </c>
      <c r="H18" s="41">
        <v>1.9153</v>
      </c>
      <c r="I18" s="34"/>
    </row>
    <row r="19" spans="1:9">
      <c r="A19" s="25" t="s">
        <v>138</v>
      </c>
      <c r="B19" s="25" t="s">
        <v>184</v>
      </c>
      <c r="C19" s="25" t="s">
        <v>194</v>
      </c>
      <c r="E19" s="30" t="s">
        <v>277</v>
      </c>
      <c r="F19" s="30">
        <v>8000</v>
      </c>
      <c r="G19" s="30">
        <v>39224000</v>
      </c>
      <c r="H19" s="41">
        <v>1.8871</v>
      </c>
      <c r="I19" s="34"/>
    </row>
    <row r="20" spans="1:9">
      <c r="A20" s="25" t="s">
        <v>80</v>
      </c>
      <c r="B20" s="25" t="s">
        <v>184</v>
      </c>
      <c r="C20" s="25" t="s">
        <v>81</v>
      </c>
      <c r="E20" s="30" t="s">
        <v>82</v>
      </c>
      <c r="F20" s="30">
        <v>7000</v>
      </c>
      <c r="G20" s="30">
        <v>36431500</v>
      </c>
      <c r="H20" s="41">
        <v>1.7526999999999999</v>
      </c>
      <c r="I20" s="34"/>
    </row>
    <row r="21" spans="1:9">
      <c r="A21" s="25" t="s">
        <v>42</v>
      </c>
      <c r="B21" s="25" t="s">
        <v>184</v>
      </c>
      <c r="C21" s="25" t="s">
        <v>43</v>
      </c>
      <c r="E21" s="30" t="s">
        <v>44</v>
      </c>
      <c r="F21" s="30">
        <v>90000</v>
      </c>
      <c r="G21" s="30">
        <v>34821000</v>
      </c>
      <c r="H21" s="41">
        <v>1.6753</v>
      </c>
      <c r="I21" s="34"/>
    </row>
    <row r="22" spans="1:9">
      <c r="A22" s="25" t="s">
        <v>137</v>
      </c>
      <c r="B22" s="25" t="s">
        <v>184</v>
      </c>
      <c r="C22" s="25" t="s">
        <v>53</v>
      </c>
      <c r="E22" s="30" t="s">
        <v>278</v>
      </c>
      <c r="F22" s="30">
        <v>3000</v>
      </c>
      <c r="G22" s="30">
        <v>34446000</v>
      </c>
      <c r="H22" s="41">
        <v>1.6572</v>
      </c>
      <c r="I22" s="33"/>
    </row>
    <row r="23" spans="1:9">
      <c r="A23" s="25" t="s">
        <v>279</v>
      </c>
      <c r="B23" s="25" t="s">
        <v>184</v>
      </c>
      <c r="C23" s="25" t="s">
        <v>111</v>
      </c>
      <c r="E23" s="30" t="s">
        <v>280</v>
      </c>
      <c r="F23" s="30">
        <v>15000</v>
      </c>
      <c r="G23" s="30">
        <v>33883500</v>
      </c>
      <c r="H23" s="41">
        <v>1.6302000000000001</v>
      </c>
      <c r="I23" s="33"/>
    </row>
    <row r="24" spans="1:9">
      <c r="A24" s="25" t="s">
        <v>281</v>
      </c>
      <c r="B24" s="25" t="s">
        <v>184</v>
      </c>
      <c r="C24" s="25" t="s">
        <v>32</v>
      </c>
      <c r="E24" s="30" t="s">
        <v>282</v>
      </c>
      <c r="F24" s="30">
        <v>15000</v>
      </c>
      <c r="G24" s="30">
        <v>33153000</v>
      </c>
      <c r="H24" s="41">
        <v>1.595</v>
      </c>
      <c r="I24" s="34"/>
    </row>
    <row r="25" spans="1:9">
      <c r="A25" s="25" t="s">
        <v>283</v>
      </c>
      <c r="B25" s="25" t="s">
        <v>184</v>
      </c>
      <c r="C25" s="25" t="s">
        <v>32</v>
      </c>
      <c r="E25" s="30" t="s">
        <v>284</v>
      </c>
      <c r="F25" s="30">
        <v>1200</v>
      </c>
      <c r="G25" s="30">
        <v>32226000</v>
      </c>
      <c r="H25" s="41">
        <v>1.5504</v>
      </c>
      <c r="I25" s="33"/>
    </row>
    <row r="26" spans="1:9">
      <c r="A26" s="25" t="s">
        <v>285</v>
      </c>
      <c r="B26" s="25" t="s">
        <v>184</v>
      </c>
      <c r="C26" s="25" t="s">
        <v>32</v>
      </c>
      <c r="E26" s="30" t="s">
        <v>286</v>
      </c>
      <c r="F26" s="30">
        <v>75000</v>
      </c>
      <c r="G26" s="30">
        <v>30375000</v>
      </c>
      <c r="H26" s="41">
        <v>1.4614</v>
      </c>
      <c r="I26" s="33"/>
    </row>
    <row r="27" spans="1:9">
      <c r="A27" s="25" t="s">
        <v>287</v>
      </c>
      <c r="B27" s="25" t="s">
        <v>184</v>
      </c>
      <c r="C27" s="25" t="s">
        <v>288</v>
      </c>
      <c r="E27" s="30" t="s">
        <v>289</v>
      </c>
      <c r="F27" s="30">
        <v>80000</v>
      </c>
      <c r="G27" s="30">
        <v>30360000</v>
      </c>
      <c r="H27" s="41">
        <v>1.4605999999999999</v>
      </c>
      <c r="I27" s="34"/>
    </row>
    <row r="28" spans="1:9">
      <c r="A28" s="25" t="s">
        <v>290</v>
      </c>
      <c r="B28" s="25" t="s">
        <v>184</v>
      </c>
      <c r="C28" s="25" t="s">
        <v>20</v>
      </c>
      <c r="E28" s="30" t="s">
        <v>114</v>
      </c>
      <c r="F28" s="30">
        <v>200000</v>
      </c>
      <c r="G28" s="30">
        <v>28048000</v>
      </c>
      <c r="H28" s="41">
        <v>1.3493999999999999</v>
      </c>
      <c r="I28" s="33"/>
    </row>
    <row r="29" spans="1:9">
      <c r="A29" s="25" t="s">
        <v>28</v>
      </c>
      <c r="B29" s="25" t="s">
        <v>184</v>
      </c>
      <c r="C29" s="25" t="s">
        <v>29</v>
      </c>
      <c r="E29" s="30" t="s">
        <v>30</v>
      </c>
      <c r="F29" s="30">
        <v>15000</v>
      </c>
      <c r="G29" s="30">
        <v>27435000</v>
      </c>
      <c r="H29" s="41">
        <v>1.3199000000000001</v>
      </c>
      <c r="I29" s="33"/>
    </row>
    <row r="30" spans="1:9">
      <c r="A30" s="25" t="s">
        <v>188</v>
      </c>
      <c r="B30" s="25" t="s">
        <v>184</v>
      </c>
      <c r="C30" s="25" t="s">
        <v>193</v>
      </c>
      <c r="E30" s="30" t="s">
        <v>195</v>
      </c>
      <c r="F30" s="30">
        <v>18000</v>
      </c>
      <c r="G30" s="30">
        <v>27430200</v>
      </c>
      <c r="H30" s="41">
        <v>1.3197000000000001</v>
      </c>
      <c r="I30" s="34"/>
    </row>
    <row r="31" spans="1:9">
      <c r="A31" s="25" t="s">
        <v>291</v>
      </c>
      <c r="B31" s="25" t="s">
        <v>184</v>
      </c>
      <c r="C31" s="25" t="s">
        <v>292</v>
      </c>
      <c r="E31" s="30" t="s">
        <v>293</v>
      </c>
      <c r="F31" s="30">
        <v>7000</v>
      </c>
      <c r="G31" s="30">
        <v>27104700</v>
      </c>
      <c r="H31" s="41">
        <v>1.304</v>
      </c>
      <c r="I31" s="33"/>
    </row>
    <row r="32" spans="1:9">
      <c r="A32" s="25" t="s">
        <v>135</v>
      </c>
      <c r="B32" s="25" t="s">
        <v>184</v>
      </c>
      <c r="C32" s="25" t="s">
        <v>50</v>
      </c>
      <c r="E32" s="30" t="s">
        <v>294</v>
      </c>
      <c r="F32" s="30">
        <v>100000</v>
      </c>
      <c r="G32" s="30">
        <v>26850000</v>
      </c>
      <c r="H32" s="41">
        <v>1.2918000000000001</v>
      </c>
      <c r="I32" s="33"/>
    </row>
    <row r="33" spans="1:9">
      <c r="A33" s="25" t="s">
        <v>295</v>
      </c>
      <c r="B33" s="25" t="s">
        <v>184</v>
      </c>
      <c r="C33" s="25" t="s">
        <v>296</v>
      </c>
      <c r="E33" s="30" t="s">
        <v>297</v>
      </c>
      <c r="F33" s="30">
        <v>170000</v>
      </c>
      <c r="G33" s="30">
        <v>26749500</v>
      </c>
      <c r="H33" s="41">
        <v>1.2868999999999999</v>
      </c>
      <c r="I33" s="34"/>
    </row>
    <row r="34" spans="1:9">
      <c r="A34" s="25" t="s">
        <v>146</v>
      </c>
      <c r="B34" s="25" t="s">
        <v>184</v>
      </c>
      <c r="C34" s="25" t="s">
        <v>298</v>
      </c>
      <c r="E34" s="30" t="s">
        <v>299</v>
      </c>
      <c r="F34" s="30">
        <v>100000</v>
      </c>
      <c r="G34" s="30">
        <v>25790000</v>
      </c>
      <c r="H34" s="41">
        <v>1.2407999999999999</v>
      </c>
      <c r="I34" s="33"/>
    </row>
    <row r="35" spans="1:9">
      <c r="A35" s="25" t="s">
        <v>300</v>
      </c>
      <c r="B35" s="25" t="s">
        <v>184</v>
      </c>
      <c r="C35" s="25" t="s">
        <v>301</v>
      </c>
      <c r="E35" s="30" t="s">
        <v>302</v>
      </c>
      <c r="F35" s="30">
        <v>55000</v>
      </c>
      <c r="G35" s="30">
        <v>25500750</v>
      </c>
      <c r="H35" s="41">
        <v>1.2269000000000001</v>
      </c>
      <c r="I35" s="34"/>
    </row>
    <row r="36" spans="1:9">
      <c r="A36" s="25" t="s">
        <v>88</v>
      </c>
      <c r="B36" s="25" t="s">
        <v>184</v>
      </c>
      <c r="C36" s="25" t="s">
        <v>89</v>
      </c>
      <c r="E36" s="30" t="s">
        <v>90</v>
      </c>
      <c r="F36" s="30">
        <v>18000</v>
      </c>
      <c r="G36" s="30">
        <v>24645600</v>
      </c>
      <c r="H36" s="41">
        <v>1.1857</v>
      </c>
      <c r="I36" s="33"/>
    </row>
    <row r="37" spans="1:9">
      <c r="A37" s="25" t="s">
        <v>303</v>
      </c>
      <c r="B37" s="25" t="s">
        <v>184</v>
      </c>
      <c r="C37" s="25" t="s">
        <v>304</v>
      </c>
      <c r="E37" s="30" t="s">
        <v>305</v>
      </c>
      <c r="F37" s="30">
        <v>20000</v>
      </c>
      <c r="G37" s="30">
        <v>24588000</v>
      </c>
      <c r="H37" s="41">
        <v>1.1829000000000001</v>
      </c>
      <c r="I37" s="33"/>
    </row>
    <row r="38" spans="1:9">
      <c r="A38" s="25" t="s">
        <v>306</v>
      </c>
      <c r="B38" s="25" t="s">
        <v>184</v>
      </c>
      <c r="C38" s="25" t="s">
        <v>78</v>
      </c>
      <c r="E38" s="30" t="s">
        <v>307</v>
      </c>
      <c r="F38" s="30">
        <v>50000</v>
      </c>
      <c r="G38" s="30">
        <v>24127500</v>
      </c>
      <c r="H38" s="41">
        <v>1.1608000000000001</v>
      </c>
      <c r="I38" s="34"/>
    </row>
    <row r="39" spans="1:9">
      <c r="A39" s="25" t="s">
        <v>49</v>
      </c>
      <c r="B39" s="25" t="s">
        <v>184</v>
      </c>
      <c r="C39" s="25" t="s">
        <v>50</v>
      </c>
      <c r="E39" s="30" t="s">
        <v>51</v>
      </c>
      <c r="F39" s="30">
        <v>25000</v>
      </c>
      <c r="G39" s="30">
        <v>24110000</v>
      </c>
      <c r="H39" s="41">
        <v>1.1598999999999999</v>
      </c>
      <c r="I39" s="33"/>
    </row>
    <row r="40" spans="1:9">
      <c r="A40" s="25" t="s">
        <v>64</v>
      </c>
      <c r="B40" s="25" t="s">
        <v>184</v>
      </c>
      <c r="C40" s="25" t="s">
        <v>37</v>
      </c>
      <c r="E40" s="30" t="s">
        <v>65</v>
      </c>
      <c r="F40" s="30">
        <v>40000</v>
      </c>
      <c r="G40" s="30">
        <v>23792000</v>
      </c>
      <c r="H40" s="41">
        <v>1.1446000000000001</v>
      </c>
      <c r="I40" s="33"/>
    </row>
    <row r="41" spans="1:9">
      <c r="A41" s="25" t="s">
        <v>190</v>
      </c>
      <c r="B41" s="25" t="s">
        <v>184</v>
      </c>
      <c r="C41" s="25" t="s">
        <v>194</v>
      </c>
      <c r="E41" s="30" t="s">
        <v>196</v>
      </c>
      <c r="F41" s="30">
        <v>7000</v>
      </c>
      <c r="G41" s="30">
        <v>23489900</v>
      </c>
      <c r="H41" s="41">
        <v>1.1301000000000001</v>
      </c>
      <c r="I41" s="33"/>
    </row>
    <row r="42" spans="1:9">
      <c r="A42" s="25" t="s">
        <v>308</v>
      </c>
      <c r="B42" s="25" t="s">
        <v>184</v>
      </c>
      <c r="C42" s="25" t="s">
        <v>62</v>
      </c>
      <c r="E42" s="30" t="s">
        <v>309</v>
      </c>
      <c r="F42" s="30">
        <v>120000</v>
      </c>
      <c r="G42" s="30">
        <v>23076000</v>
      </c>
      <c r="H42" s="41">
        <v>1.1102000000000001</v>
      </c>
      <c r="I42" s="33"/>
    </row>
    <row r="43" spans="1:9">
      <c r="A43" s="25" t="s">
        <v>203</v>
      </c>
      <c r="B43" s="25" t="s">
        <v>184</v>
      </c>
      <c r="C43" s="25" t="s">
        <v>310</v>
      </c>
      <c r="E43" s="30" t="s">
        <v>311</v>
      </c>
      <c r="F43" s="30">
        <v>20000</v>
      </c>
      <c r="G43" s="30">
        <v>22090000</v>
      </c>
      <c r="H43" s="41">
        <v>1.0628</v>
      </c>
      <c r="I43" s="33"/>
    </row>
    <row r="44" spans="1:9">
      <c r="A44" s="25" t="s">
        <v>312</v>
      </c>
      <c r="B44" s="25" t="s">
        <v>184</v>
      </c>
      <c r="C44" s="25" t="s">
        <v>103</v>
      </c>
      <c r="E44" s="30" t="s">
        <v>313</v>
      </c>
      <c r="F44" s="30">
        <v>100000</v>
      </c>
      <c r="G44" s="30">
        <v>21806000</v>
      </c>
      <c r="H44" s="41">
        <v>1.0490999999999999</v>
      </c>
      <c r="I44" s="33"/>
    </row>
    <row r="45" spans="1:9">
      <c r="A45" s="25" t="s">
        <v>204</v>
      </c>
      <c r="B45" s="25" t="s">
        <v>184</v>
      </c>
      <c r="C45" s="25" t="s">
        <v>314</v>
      </c>
      <c r="E45" s="30" t="s">
        <v>315</v>
      </c>
      <c r="F45" s="30">
        <v>20000</v>
      </c>
      <c r="G45" s="30">
        <v>18943000</v>
      </c>
      <c r="H45" s="41">
        <v>0.91139999999999999</v>
      </c>
      <c r="I45" s="34"/>
    </row>
    <row r="46" spans="1:9">
      <c r="A46" s="25" t="s">
        <v>202</v>
      </c>
      <c r="B46" s="25" t="s">
        <v>184</v>
      </c>
      <c r="C46" s="25" t="s">
        <v>50</v>
      </c>
      <c r="E46" s="30" t="s">
        <v>316</v>
      </c>
      <c r="F46" s="30">
        <v>140000</v>
      </c>
      <c r="G46" s="30">
        <v>18312000</v>
      </c>
      <c r="H46" s="41">
        <v>0.88100000000000001</v>
      </c>
      <c r="I46" s="33"/>
    </row>
    <row r="47" spans="1:9">
      <c r="A47" s="25" t="s">
        <v>317</v>
      </c>
      <c r="B47" s="25" t="s">
        <v>184</v>
      </c>
      <c r="C47" s="25" t="s">
        <v>318</v>
      </c>
      <c r="E47" s="30" t="s">
        <v>319</v>
      </c>
      <c r="F47" s="30">
        <v>10000</v>
      </c>
      <c r="G47" s="30">
        <v>17922000</v>
      </c>
      <c r="H47" s="41">
        <v>0.86219999999999997</v>
      </c>
      <c r="I47" s="33"/>
    </row>
    <row r="48" spans="1:9">
      <c r="A48" s="25" t="s">
        <v>57</v>
      </c>
      <c r="B48" s="25" t="s">
        <v>184</v>
      </c>
      <c r="C48" s="25" t="s">
        <v>58</v>
      </c>
      <c r="E48" s="30" t="s">
        <v>59</v>
      </c>
      <c r="F48" s="30">
        <v>4000</v>
      </c>
      <c r="G48" s="30">
        <v>17620000</v>
      </c>
      <c r="H48" s="41">
        <v>0.84770000000000001</v>
      </c>
      <c r="I48" s="33"/>
    </row>
    <row r="49" spans="1:9">
      <c r="A49" s="25" t="s">
        <v>107</v>
      </c>
      <c r="B49" s="25" t="s">
        <v>184</v>
      </c>
      <c r="C49" s="25" t="s">
        <v>108</v>
      </c>
      <c r="E49" s="30" t="s">
        <v>109</v>
      </c>
      <c r="F49" s="30">
        <v>17356</v>
      </c>
      <c r="G49" s="30">
        <v>17269220</v>
      </c>
      <c r="H49" s="41">
        <v>0.83079999999999998</v>
      </c>
      <c r="I49" s="33"/>
    </row>
    <row r="50" spans="1:9">
      <c r="A50" s="25" t="s">
        <v>320</v>
      </c>
      <c r="B50" s="25" t="s">
        <v>184</v>
      </c>
      <c r="C50" s="25" t="s">
        <v>37</v>
      </c>
      <c r="E50" s="30" t="s">
        <v>321</v>
      </c>
      <c r="F50" s="30">
        <v>10000</v>
      </c>
      <c r="G50" s="30">
        <v>16740000</v>
      </c>
      <c r="H50" s="41">
        <v>0.8054</v>
      </c>
      <c r="I50" s="33"/>
    </row>
    <row r="51" spans="1:9">
      <c r="A51" s="25" t="s">
        <v>322</v>
      </c>
      <c r="B51" s="25" t="s">
        <v>184</v>
      </c>
      <c r="C51" s="25" t="s">
        <v>323</v>
      </c>
      <c r="E51" s="30" t="s">
        <v>324</v>
      </c>
      <c r="F51" s="30">
        <v>40000</v>
      </c>
      <c r="G51" s="30">
        <v>16536000</v>
      </c>
      <c r="H51" s="41">
        <v>0.79559999999999997</v>
      </c>
      <c r="I51" s="33"/>
    </row>
    <row r="52" spans="1:9">
      <c r="A52" s="25" t="s">
        <v>34</v>
      </c>
      <c r="B52" s="25" t="s">
        <v>184</v>
      </c>
      <c r="C52" s="25" t="s">
        <v>15</v>
      </c>
      <c r="E52" s="30" t="s">
        <v>35</v>
      </c>
      <c r="F52" s="30">
        <v>10000</v>
      </c>
      <c r="G52" s="30">
        <v>12866000</v>
      </c>
      <c r="H52" s="41">
        <v>0.61899999999999999</v>
      </c>
      <c r="I52" s="33"/>
    </row>
    <row r="53" spans="1:9">
      <c r="A53" s="25" t="s">
        <v>325</v>
      </c>
      <c r="B53" s="25" t="s">
        <v>184</v>
      </c>
      <c r="C53" s="25" t="s">
        <v>92</v>
      </c>
      <c r="E53" s="30" t="s">
        <v>326</v>
      </c>
      <c r="F53" s="30">
        <v>20000</v>
      </c>
      <c r="G53" s="30">
        <v>12745000</v>
      </c>
      <c r="H53" s="41">
        <v>0.61319999999999997</v>
      </c>
      <c r="I53" s="34"/>
    </row>
    <row r="54" spans="1:9">
      <c r="A54" s="25" t="s">
        <v>94</v>
      </c>
      <c r="B54" s="25" t="s">
        <v>184</v>
      </c>
      <c r="C54" s="25" t="s">
        <v>95</v>
      </c>
      <c r="E54" s="30" t="s">
        <v>96</v>
      </c>
      <c r="F54" s="30">
        <v>10000</v>
      </c>
      <c r="G54" s="30">
        <v>12072000</v>
      </c>
      <c r="H54" s="41">
        <v>0.58079999999999998</v>
      </c>
      <c r="I54" s="33"/>
    </row>
    <row r="55" spans="1:9">
      <c r="A55" s="25" t="s">
        <v>327</v>
      </c>
      <c r="B55" s="25" t="s">
        <v>184</v>
      </c>
      <c r="C55" s="25" t="s">
        <v>32</v>
      </c>
      <c r="E55" s="30" t="s">
        <v>328</v>
      </c>
      <c r="F55" s="30">
        <v>10000</v>
      </c>
      <c r="G55" s="30">
        <v>11600000</v>
      </c>
      <c r="H55" s="41">
        <v>0.55810000000000004</v>
      </c>
      <c r="I55" s="33"/>
    </row>
    <row r="56" spans="1:9">
      <c r="A56" s="25" t="s">
        <v>52</v>
      </c>
      <c r="B56" s="25" t="s">
        <v>184</v>
      </c>
      <c r="C56" s="25" t="s">
        <v>53</v>
      </c>
      <c r="E56" s="30" t="s">
        <v>54</v>
      </c>
      <c r="F56" s="30">
        <v>400</v>
      </c>
      <c r="G56" s="30">
        <v>10110000</v>
      </c>
      <c r="H56" s="41">
        <v>0.4864</v>
      </c>
      <c r="I56" s="33"/>
    </row>
    <row r="57" spans="1:9">
      <c r="A57" s="25" t="s">
        <v>329</v>
      </c>
      <c r="B57" s="25" t="s">
        <v>184</v>
      </c>
      <c r="C57" s="25" t="s">
        <v>330</v>
      </c>
      <c r="E57" s="30" t="s">
        <v>331</v>
      </c>
      <c r="F57" s="30">
        <v>551</v>
      </c>
      <c r="G57" s="30">
        <v>2484734.5</v>
      </c>
      <c r="H57" s="41">
        <v>0.1195</v>
      </c>
      <c r="I57" s="33"/>
    </row>
    <row r="58" spans="1:9" ht="13">
      <c r="A58" s="35" t="s">
        <v>129</v>
      </c>
      <c r="B58" s="35"/>
      <c r="C58" s="38"/>
      <c r="D58" s="38"/>
      <c r="E58" s="36"/>
      <c r="F58" s="83"/>
      <c r="G58" s="36">
        <f>SUM(G14:G57)</f>
        <v>1236106604.5</v>
      </c>
      <c r="H58" s="37">
        <f>SUM(H14:H57)</f>
        <v>59.469900000000017</v>
      </c>
      <c r="I58" s="33"/>
    </row>
    <row r="59" spans="1:9" ht="13">
      <c r="A59" s="35"/>
      <c r="B59" s="35"/>
      <c r="C59" s="38"/>
      <c r="D59" s="38"/>
      <c r="E59" s="36"/>
      <c r="F59" s="83"/>
      <c r="G59" s="36"/>
      <c r="H59" s="37"/>
      <c r="I59" s="33"/>
    </row>
    <row r="60" spans="1:9" ht="13">
      <c r="A60" s="35" t="s">
        <v>227</v>
      </c>
      <c r="B60" s="35"/>
      <c r="C60" s="38"/>
      <c r="D60" s="38"/>
      <c r="E60" s="38"/>
      <c r="F60" s="42"/>
      <c r="G60" s="11"/>
      <c r="H60" s="11"/>
      <c r="I60" s="33"/>
    </row>
    <row r="61" spans="1:9" ht="13">
      <c r="A61" s="55" t="s">
        <v>228</v>
      </c>
      <c r="B61" s="35"/>
      <c r="C61" s="38"/>
      <c r="D61" s="38"/>
      <c r="E61" s="38"/>
      <c r="F61" s="42"/>
      <c r="G61" s="16" t="s">
        <v>228</v>
      </c>
      <c r="H61" s="16" t="s">
        <v>228</v>
      </c>
      <c r="I61" s="33"/>
    </row>
    <row r="62" spans="1:9" ht="13">
      <c r="A62" s="35" t="s">
        <v>129</v>
      </c>
      <c r="B62" s="35"/>
      <c r="C62" s="38"/>
      <c r="D62" s="38"/>
      <c r="E62" s="38"/>
      <c r="F62" s="42"/>
      <c r="G62" s="11"/>
      <c r="H62" s="11"/>
      <c r="I62" s="33"/>
    </row>
    <row r="63" spans="1:9" ht="13">
      <c r="A63" s="43" t="s">
        <v>130</v>
      </c>
      <c r="B63" s="3"/>
      <c r="C63" s="9"/>
      <c r="D63" s="9"/>
      <c r="E63" s="9"/>
      <c r="F63" s="10"/>
      <c r="G63" s="44">
        <f>G58</f>
        <v>1236106604.5</v>
      </c>
      <c r="H63" s="20">
        <f>H58</f>
        <v>59.469900000000017</v>
      </c>
      <c r="I63" s="33"/>
    </row>
    <row r="64" spans="1:9" ht="13">
      <c r="A64" s="35"/>
      <c r="B64" s="35"/>
      <c r="C64" s="38"/>
      <c r="D64" s="38"/>
      <c r="E64" s="38"/>
      <c r="F64" s="42"/>
      <c r="G64" s="15"/>
      <c r="H64" s="11"/>
      <c r="I64" s="33"/>
    </row>
    <row r="65" spans="1:10" ht="13">
      <c r="A65" s="45" t="s">
        <v>131</v>
      </c>
      <c r="B65" s="45"/>
      <c r="C65" s="38"/>
      <c r="D65" s="38"/>
      <c r="E65" s="38"/>
      <c r="F65" s="42"/>
      <c r="G65" s="15"/>
      <c r="H65" s="11"/>
      <c r="I65" s="33"/>
    </row>
    <row r="66" spans="1:10" ht="13">
      <c r="A66" s="35" t="s">
        <v>132</v>
      </c>
      <c r="B66" s="35"/>
      <c r="C66" s="38"/>
      <c r="D66" s="38"/>
      <c r="E66" s="38"/>
      <c r="F66" s="42"/>
      <c r="G66" s="42"/>
      <c r="H66" s="46"/>
      <c r="I66" s="33"/>
    </row>
    <row r="67" spans="1:10" ht="13">
      <c r="A67" s="43" t="s">
        <v>129</v>
      </c>
      <c r="B67" s="48"/>
      <c r="C67" s="48"/>
      <c r="D67" s="48"/>
      <c r="E67" s="48"/>
      <c r="F67" s="9"/>
      <c r="G67" s="44"/>
      <c r="H67" s="49"/>
      <c r="J67" s="33"/>
    </row>
    <row r="68" spans="1:10">
      <c r="J68" s="33"/>
    </row>
    <row r="69" spans="1:10" ht="13">
      <c r="A69" s="38" t="s">
        <v>154</v>
      </c>
      <c r="B69" s="38"/>
      <c r="C69" s="38"/>
      <c r="D69" s="38"/>
      <c r="E69" s="38"/>
      <c r="F69" s="38"/>
      <c r="G69" s="39"/>
      <c r="H69" s="15"/>
      <c r="I69" s="11"/>
      <c r="J69" s="33"/>
    </row>
    <row r="70" spans="1:10" ht="13">
      <c r="A70" s="3" t="s">
        <v>129</v>
      </c>
      <c r="B70" s="48"/>
      <c r="C70" s="48"/>
      <c r="D70" s="48"/>
      <c r="E70" s="50"/>
      <c r="F70" s="48"/>
      <c r="G70" s="44"/>
      <c r="H70" s="22"/>
    </row>
    <row r="71" spans="1:10" ht="13">
      <c r="A71" s="6"/>
      <c r="E71" s="39"/>
      <c r="G71" s="51"/>
      <c r="H71" s="33"/>
    </row>
    <row r="72" spans="1:10" ht="13">
      <c r="A72" s="3" t="s">
        <v>130</v>
      </c>
      <c r="B72" s="48"/>
      <c r="C72" s="48"/>
      <c r="D72" s="48"/>
      <c r="E72" s="50"/>
      <c r="F72" s="48"/>
      <c r="G72" s="44"/>
      <c r="H72" s="22"/>
    </row>
    <row r="73" spans="1:10" ht="13">
      <c r="A73" s="6"/>
      <c r="E73" s="52"/>
      <c r="G73" s="51"/>
      <c r="H73" s="11"/>
      <c r="I73" s="33"/>
    </row>
    <row r="74" spans="1:10" ht="13">
      <c r="A74" s="6" t="s">
        <v>158</v>
      </c>
      <c r="B74" s="2"/>
      <c r="C74" s="1"/>
      <c r="D74" s="1"/>
      <c r="E74" s="1"/>
      <c r="F74" s="7"/>
      <c r="G74" s="7"/>
      <c r="H74" s="7"/>
      <c r="I74" s="33"/>
    </row>
    <row r="75" spans="1:10" ht="13">
      <c r="A75" s="6" t="s">
        <v>13</v>
      </c>
      <c r="B75" s="2"/>
      <c r="C75" s="1"/>
      <c r="D75" s="1"/>
      <c r="E75" s="1"/>
      <c r="F75" s="7"/>
      <c r="G75" s="7"/>
      <c r="H75" s="7"/>
      <c r="I75" s="33"/>
    </row>
    <row r="76" spans="1:10" ht="13">
      <c r="A76" s="6" t="s">
        <v>159</v>
      </c>
      <c r="B76" s="2"/>
      <c r="C76" s="1"/>
      <c r="D76" s="1"/>
      <c r="E76" s="1"/>
      <c r="F76" s="7"/>
      <c r="G76" s="7"/>
      <c r="H76" s="7"/>
      <c r="I76" s="33"/>
    </row>
    <row r="77" spans="1:10" ht="13">
      <c r="A77" s="6" t="s">
        <v>165</v>
      </c>
      <c r="B77" s="13"/>
      <c r="C77" s="6"/>
      <c r="D77" s="6"/>
      <c r="E77" s="23"/>
      <c r="F77" s="30"/>
      <c r="G77" s="24"/>
      <c r="H77" s="13"/>
      <c r="I77" s="33"/>
    </row>
    <row r="78" spans="1:10" ht="13">
      <c r="A78" s="6" t="s">
        <v>166</v>
      </c>
      <c r="B78" s="16"/>
      <c r="C78" s="1"/>
      <c r="D78" s="1"/>
      <c r="E78" s="24"/>
      <c r="F78" s="30"/>
      <c r="G78" s="16"/>
      <c r="H78" s="16"/>
      <c r="I78" s="33"/>
    </row>
    <row r="79" spans="1:10" ht="13">
      <c r="A79" s="6" t="s">
        <v>178</v>
      </c>
      <c r="B79" s="13"/>
      <c r="C79" s="6"/>
      <c r="D79" s="6"/>
      <c r="E79" s="6"/>
      <c r="F79" s="53"/>
      <c r="G79" s="36"/>
      <c r="H79" s="13"/>
      <c r="I79" s="33"/>
    </row>
    <row r="80" spans="1:10" ht="13">
      <c r="A80" s="6" t="s">
        <v>179</v>
      </c>
      <c r="B80" s="16"/>
      <c r="C80" s="1"/>
      <c r="D80" s="1"/>
      <c r="E80" s="1"/>
      <c r="F80" s="21"/>
      <c r="G80" s="21"/>
      <c r="H80" s="16"/>
      <c r="I80" s="33"/>
    </row>
    <row r="81" spans="1:9">
      <c r="A81" s="1" t="s">
        <v>221</v>
      </c>
      <c r="B81" s="16">
        <v>5.5247928499999999</v>
      </c>
      <c r="C81" s="16" t="s">
        <v>161</v>
      </c>
      <c r="D81" s="16"/>
      <c r="E81" s="16" t="s">
        <v>225</v>
      </c>
      <c r="F81" s="84">
        <v>2500000</v>
      </c>
      <c r="G81" s="84">
        <v>247009000</v>
      </c>
      <c r="H81" s="16">
        <v>11.88</v>
      </c>
      <c r="I81" s="33"/>
    </row>
    <row r="82" spans="1:9" ht="13">
      <c r="A82" s="6" t="s">
        <v>180</v>
      </c>
      <c r="B82" s="11"/>
      <c r="C82" s="6"/>
      <c r="D82" s="6"/>
      <c r="E82" s="6"/>
      <c r="F82" s="12"/>
      <c r="G82" s="44">
        <f>SUM(G81:G81)</f>
        <v>247009000</v>
      </c>
      <c r="H82" s="13">
        <f>SUM(H81:H81)</f>
        <v>11.88</v>
      </c>
      <c r="I82" s="33"/>
    </row>
    <row r="83" spans="1:9" ht="13">
      <c r="A83" s="6" t="s">
        <v>181</v>
      </c>
      <c r="B83" s="11"/>
      <c r="C83" s="6"/>
      <c r="D83" s="6"/>
      <c r="E83" s="6"/>
      <c r="F83" s="12"/>
      <c r="G83" s="44">
        <v>647526464.25</v>
      </c>
      <c r="H83" s="13">
        <v>31.152899999999999</v>
      </c>
      <c r="I83" s="33"/>
    </row>
    <row r="84" spans="1:9" ht="13">
      <c r="A84" s="3" t="s">
        <v>182</v>
      </c>
      <c r="B84" s="4"/>
      <c r="C84" s="3"/>
      <c r="D84" s="3"/>
      <c r="E84" s="3"/>
      <c r="F84" s="5"/>
      <c r="G84" s="22">
        <f>G83+G82+G58</f>
        <v>2130642068.75</v>
      </c>
      <c r="H84" s="22">
        <f>H83+H82+H58</f>
        <v>102.50280000000001</v>
      </c>
      <c r="I84" s="33"/>
    </row>
    <row r="85" spans="1:9" ht="13">
      <c r="A85" s="6" t="s">
        <v>332</v>
      </c>
      <c r="C85" s="6"/>
      <c r="D85" s="6"/>
      <c r="E85" s="6"/>
      <c r="F85" s="12"/>
      <c r="G85" s="22">
        <f>G86-G84</f>
        <v>-52098039.628999949</v>
      </c>
      <c r="H85" s="22">
        <f>H86-H84</f>
        <v>-2.5028000000000077</v>
      </c>
      <c r="I85" s="33"/>
    </row>
    <row r="86" spans="1:9" ht="13">
      <c r="A86" s="3" t="s">
        <v>183</v>
      </c>
      <c r="B86" s="48"/>
      <c r="C86" s="3"/>
      <c r="D86" s="3"/>
      <c r="E86" s="3"/>
      <c r="F86" s="5"/>
      <c r="G86" s="22">
        <v>2078544029.1210001</v>
      </c>
      <c r="H86" s="22">
        <v>100</v>
      </c>
      <c r="I86" s="33"/>
    </row>
    <row r="87" spans="1:9" ht="13">
      <c r="A87" s="6"/>
      <c r="C87" s="6"/>
      <c r="D87" s="6"/>
      <c r="E87" s="6"/>
      <c r="F87" s="12"/>
      <c r="G87" s="15"/>
      <c r="H87" s="12"/>
      <c r="I87" s="33"/>
    </row>
    <row r="88" spans="1:9" ht="13">
      <c r="G88" s="15"/>
      <c r="H88" s="33"/>
      <c r="I88" s="33"/>
    </row>
    <row r="89" spans="1:9" ht="13">
      <c r="A89" s="6" t="s">
        <v>229</v>
      </c>
      <c r="G89" s="15"/>
      <c r="H89" s="33"/>
    </row>
    <row r="90" spans="1:9" ht="13">
      <c r="A90" s="6" t="s">
        <v>230</v>
      </c>
    </row>
    <row r="91" spans="1:9" ht="13">
      <c r="A91" s="6" t="s">
        <v>333</v>
      </c>
      <c r="B91" s="2" t="s">
        <v>260</v>
      </c>
    </row>
    <row r="92" spans="1:9" ht="13">
      <c r="A92" s="6" t="s">
        <v>231</v>
      </c>
    </row>
    <row r="93" spans="1:9" ht="13">
      <c r="A93" s="6"/>
    </row>
    <row r="94" spans="1:9">
      <c r="A94" s="1" t="s">
        <v>334</v>
      </c>
    </row>
    <row r="95" spans="1:9">
      <c r="A95" s="1" t="s">
        <v>335</v>
      </c>
    </row>
    <row r="96" spans="1:9">
      <c r="A96" s="1" t="s">
        <v>336</v>
      </c>
    </row>
    <row r="97" spans="1:2">
      <c r="A97" s="1" t="s">
        <v>337</v>
      </c>
    </row>
    <row r="99" spans="1:2" ht="13">
      <c r="A99" s="6" t="s">
        <v>338</v>
      </c>
    </row>
    <row r="100" spans="1:2">
      <c r="A100" s="1" t="s">
        <v>232</v>
      </c>
    </row>
    <row r="101" spans="1:2">
      <c r="A101" s="1" t="s">
        <v>233</v>
      </c>
      <c r="B101" s="25" t="s">
        <v>228</v>
      </c>
    </row>
    <row r="102" spans="1:2">
      <c r="A102" s="1" t="s">
        <v>234</v>
      </c>
      <c r="B102" s="2" t="s">
        <v>228</v>
      </c>
    </row>
    <row r="103" spans="1:2">
      <c r="A103" s="1"/>
      <c r="B103" s="2"/>
    </row>
    <row r="104" spans="1:2" ht="13">
      <c r="A104" s="56" t="s">
        <v>339</v>
      </c>
      <c r="B104" s="61"/>
    </row>
    <row r="105" spans="1:2" ht="13">
      <c r="A105" s="56" t="s">
        <v>340</v>
      </c>
      <c r="B105" s="78" t="s">
        <v>235</v>
      </c>
    </row>
    <row r="106" spans="1:2" ht="13">
      <c r="A106" s="58" t="s">
        <v>236</v>
      </c>
      <c r="B106" s="79">
        <v>0</v>
      </c>
    </row>
    <row r="107" spans="1:2">
      <c r="A107" s="58" t="s">
        <v>341</v>
      </c>
      <c r="B107" s="71">
        <v>0</v>
      </c>
    </row>
    <row r="108" spans="1:2">
      <c r="A108" s="58" t="s">
        <v>237</v>
      </c>
      <c r="B108" s="71">
        <v>0</v>
      </c>
    </row>
    <row r="109" spans="1:2" ht="13">
      <c r="A109" s="58" t="s">
        <v>238</v>
      </c>
      <c r="B109" s="61">
        <v>0</v>
      </c>
    </row>
    <row r="110" spans="1:2">
      <c r="A110" s="58" t="s">
        <v>239</v>
      </c>
      <c r="B110" s="71">
        <v>0</v>
      </c>
    </row>
    <row r="111" spans="1:2">
      <c r="A111" s="58" t="s">
        <v>240</v>
      </c>
      <c r="B111" s="71">
        <v>0</v>
      </c>
    </row>
    <row r="112" spans="1:2" ht="13">
      <c r="A112" s="56" t="s">
        <v>241</v>
      </c>
      <c r="B112" s="61">
        <v>0</v>
      </c>
    </row>
    <row r="113" spans="1:6">
      <c r="A113" s="1"/>
      <c r="B113" s="2"/>
    </row>
    <row r="114" spans="1:6">
      <c r="A114" s="1"/>
      <c r="B114" s="2"/>
    </row>
    <row r="115" spans="1:6" ht="13">
      <c r="A115" s="56" t="s">
        <v>242</v>
      </c>
      <c r="B115" s="57">
        <v>46173</v>
      </c>
      <c r="C115" s="58"/>
      <c r="D115" s="59"/>
      <c r="E115" s="59"/>
      <c r="F115" s="60"/>
    </row>
    <row r="116" spans="1:6" ht="13">
      <c r="A116" s="56" t="s">
        <v>243</v>
      </c>
      <c r="B116" s="61" t="s">
        <v>244</v>
      </c>
      <c r="C116" s="56" t="s">
        <v>245</v>
      </c>
      <c r="D116" s="62"/>
      <c r="E116" s="62" t="s">
        <v>246</v>
      </c>
      <c r="F116" s="63" t="s">
        <v>247</v>
      </c>
    </row>
    <row r="117" spans="1:6">
      <c r="A117" s="64" t="s">
        <v>228</v>
      </c>
      <c r="B117" s="65" t="s">
        <v>228</v>
      </c>
      <c r="C117" s="64" t="s">
        <v>228</v>
      </c>
      <c r="D117" s="66"/>
      <c r="E117" s="66" t="s">
        <v>228</v>
      </c>
      <c r="F117" s="67" t="s">
        <v>228</v>
      </c>
    </row>
    <row r="118" spans="1:6" ht="13">
      <c r="A118" s="6"/>
      <c r="B118" s="11"/>
      <c r="C118" s="6"/>
      <c r="D118" s="6"/>
      <c r="E118" s="6"/>
      <c r="F118" s="12"/>
    </row>
    <row r="119" spans="1:6" ht="13">
      <c r="A119" s="56" t="s">
        <v>248</v>
      </c>
      <c r="B119" s="57">
        <v>46173</v>
      </c>
      <c r="C119" s="58"/>
      <c r="D119" s="58"/>
      <c r="E119" s="58"/>
      <c r="F119" s="68"/>
    </row>
    <row r="120" spans="1:6" ht="13">
      <c r="A120" s="56" t="s">
        <v>243</v>
      </c>
      <c r="B120" s="61" t="s">
        <v>244</v>
      </c>
      <c r="C120" s="56" t="s">
        <v>245</v>
      </c>
      <c r="D120" s="56"/>
      <c r="E120" s="56" t="s">
        <v>246</v>
      </c>
      <c r="F120" s="63" t="s">
        <v>247</v>
      </c>
    </row>
    <row r="121" spans="1:6">
      <c r="A121" s="72" t="s">
        <v>228</v>
      </c>
      <c r="B121" s="72" t="s">
        <v>228</v>
      </c>
      <c r="C121" s="75" t="s">
        <v>228</v>
      </c>
      <c r="D121" s="76"/>
      <c r="E121" s="74" t="s">
        <v>228</v>
      </c>
      <c r="F121" s="85"/>
    </row>
    <row r="123" spans="1:6" ht="13">
      <c r="A123" s="56" t="s">
        <v>249</v>
      </c>
      <c r="B123" s="57">
        <v>46173</v>
      </c>
      <c r="C123" s="58"/>
      <c r="D123" s="59"/>
      <c r="E123" s="59"/>
      <c r="F123" s="60"/>
    </row>
    <row r="124" spans="1:6" ht="13">
      <c r="A124" s="56" t="s">
        <v>243</v>
      </c>
      <c r="B124" s="69" t="s">
        <v>250</v>
      </c>
      <c r="C124" s="69" t="s">
        <v>251</v>
      </c>
      <c r="D124" s="69"/>
      <c r="E124" s="69" t="s">
        <v>252</v>
      </c>
      <c r="F124" s="69" t="s">
        <v>253</v>
      </c>
    </row>
    <row r="125" spans="1:6">
      <c r="A125" s="72" t="s">
        <v>228</v>
      </c>
      <c r="B125" s="72"/>
      <c r="C125" s="76"/>
      <c r="D125" s="58"/>
      <c r="E125" s="76" t="s">
        <v>228</v>
      </c>
      <c r="F125" s="77" t="s">
        <v>228</v>
      </c>
    </row>
    <row r="127" spans="1:6" ht="13">
      <c r="A127" s="56" t="s">
        <v>254</v>
      </c>
      <c r="B127" s="57">
        <v>46173</v>
      </c>
      <c r="C127" s="72"/>
      <c r="D127" s="72"/>
      <c r="E127" s="72"/>
      <c r="F127" s="72"/>
    </row>
    <row r="128" spans="1:6" ht="13">
      <c r="A128" s="56" t="s">
        <v>243</v>
      </c>
      <c r="B128" s="69" t="s">
        <v>250</v>
      </c>
      <c r="C128" s="69" t="s">
        <v>251</v>
      </c>
      <c r="D128" s="69"/>
      <c r="E128" s="69" t="s">
        <v>252</v>
      </c>
      <c r="F128" s="69" t="s">
        <v>253</v>
      </c>
    </row>
    <row r="129" spans="1:6">
      <c r="A129" s="72" t="s">
        <v>228</v>
      </c>
      <c r="B129" s="72"/>
      <c r="C129" s="73"/>
      <c r="D129" s="73"/>
      <c r="E129" s="72"/>
      <c r="F129" s="72"/>
    </row>
    <row r="130" spans="1:6" ht="13">
      <c r="A130" s="6"/>
      <c r="B130" s="70"/>
      <c r="C130" s="1"/>
      <c r="D130" s="1"/>
      <c r="E130" s="1"/>
      <c r="F130" s="7"/>
    </row>
    <row r="131" spans="1:6" ht="13">
      <c r="A131" s="56" t="s">
        <v>261</v>
      </c>
      <c r="B131" s="57">
        <v>46173</v>
      </c>
      <c r="C131" s="58"/>
      <c r="D131" s="58"/>
      <c r="E131" s="58"/>
      <c r="F131" s="68"/>
    </row>
    <row r="132" spans="1:6" ht="13">
      <c r="A132" s="56" t="s">
        <v>243</v>
      </c>
      <c r="B132" s="61" t="s">
        <v>255</v>
      </c>
      <c r="C132" s="56" t="s">
        <v>256</v>
      </c>
      <c r="D132" s="56"/>
      <c r="E132" s="56" t="s">
        <v>257</v>
      </c>
      <c r="F132" s="63" t="s">
        <v>258</v>
      </c>
    </row>
    <row r="133" spans="1:6">
      <c r="A133" s="58" t="s">
        <v>228</v>
      </c>
      <c r="B133" s="71" t="s">
        <v>228</v>
      </c>
      <c r="C133" s="58" t="s">
        <v>228</v>
      </c>
      <c r="D133" s="58"/>
      <c r="E133" s="58" t="s">
        <v>228</v>
      </c>
      <c r="F133" s="68" t="s">
        <v>228</v>
      </c>
    </row>
    <row r="135" spans="1:6">
      <c r="A135" s="25" t="s">
        <v>259</v>
      </c>
    </row>
  </sheetData>
  <mergeCells count="2">
    <mergeCell ref="B3:B8"/>
    <mergeCell ref="C3:C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Titanium Hybrid Long Short Fund</vt:lpstr>
      <vt:lpstr>Titanium Equity Long Short Fund</vt:lpstr>
      <vt:lpstr>'Titanium Equity Long Short Fund'!TBAF_Debt_Related_1_1</vt:lpstr>
      <vt:lpstr>'Titanium Hybrid Long Short Fund'!TBAF_Debt_Related_1_1</vt:lpstr>
      <vt:lpstr>'Titanium Equity Long Short Fund'!TBAF_GOV_SEC_1</vt:lpstr>
      <vt:lpstr>'Titanium Hybrid Long Short Fund'!TBAF_GOV_SEC_1</vt:lpstr>
      <vt:lpstr>'Titanium Equity Long Short Fund'!TBAF_MM_1</vt:lpstr>
      <vt:lpstr>'Titanium Hybrid Long Short Fund'!TBAF_MM_1</vt:lpstr>
      <vt:lpstr>'Titanium Equity Long Short Fund'!THLSFSIFNAV_1</vt:lpstr>
      <vt:lpstr>'Titanium Hybrid Long Short Fund'!THLSFSIFNAV_1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Sanskar Tanna</dc:creator>
  <cp:lastModifiedBy>Sanskar Tanna</cp:lastModifiedBy>
  <dcterms:created xsi:type="dcterms:W3CDTF">2026-04-07T11:18:48Z</dcterms:created>
  <dcterms:modified xsi:type="dcterms:W3CDTF">2026-06-08T11:44:40Z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2026-04-10T05:15:14Z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f3ad0a28-f9c7-4e38-ad69-3973c583119f</vt:lpwstr>
  </property>
  <property fmtid="{D5CDD505-2E9C-101B-9397-08002B2CF9AE}" pid="8" name="MSIP_Label_4992d650-9f13-46a3-b8fc-6df5be32bb6b_ContentBits">
    <vt:lpwstr>0</vt:lpwstr>
  </property>
  <property fmtid="{D5CDD505-2E9C-101B-9397-08002B2CF9AE}" pid="9" name="MSIP_Label_4992d650-9f13-46a3-b8fc-6df5be32bb6b_Tag">
    <vt:lpwstr>10, 3, 0, 1</vt:lpwstr>
  </property>
</Properties>
</file>