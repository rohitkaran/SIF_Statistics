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IF_EQUITY_LONG_SHORT_FUND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<sst xmlns="http://schemas.openxmlformats.org/spreadsheetml/2006/main" count="187" uniqueCount="187">
  <si>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</si>
  <si>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qSIF EQUITY LONG SHORT FUND</t>
  </si>
  <si>
    <t>An open ended equity investment strategy investing in listed equity and equity related instruments including limited short exposure in equity through derivative instruments.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</si>
  <si>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</si>
  <si>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</si>
  <si>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</si>
  <si>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</si>
  <si>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</si>
  <si>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</si>
  <si>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</si>
  <si>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</si>
  <si>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</si>
  <si>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</si>
  <si>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</si>
  <si>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</si>
  <si>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</si>
  <si>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INE397D01024</t>
  </si>
  <si>
    <t>Bharti Airtel Limited</t>
  </si>
  <si>
    <t>N.A.</t>
  </si>
  <si>
    <t>Telecom - Services</t>
  </si>
  <si>
    <t>-</t>
  </si>
  <si>
    <t>INE002A01018</t>
  </si>
  <si>
    <t>Reliance Industries Limited</t>
  </si>
  <si>
    <t>Petroleum Products</t>
  </si>
  <si>
    <t>INE121J01017</t>
  </si>
  <si>
    <t>Indus Towers Limited</t>
  </si>
  <si>
    <t>INE669C01036</t>
  </si>
  <si>
    <t>Tech Mahindra Limited</t>
  </si>
  <si>
    <t>IT - Software</t>
  </si>
  <si>
    <t>INE528G01035</t>
  </si>
  <si>
    <t>YES Bank Ltd.</t>
  </si>
  <si>
    <t>Banks</t>
  </si>
  <si>
    <t>INE522D01027</t>
  </si>
  <si>
    <t>Manappuram Finance Ltd</t>
  </si>
  <si>
    <t>Finance</t>
  </si>
  <si>
    <t>INE699H01024</t>
  </si>
  <si>
    <t>Adani Wilmar Limited</t>
  </si>
  <si>
    <t>Agricultural Food &amp; other Products</t>
  </si>
  <si>
    <t>INE949L01017</t>
  </si>
  <si>
    <t>AU Small Finance Bank Ltd</t>
  </si>
  <si>
    <t>INE180C01042</t>
  </si>
  <si>
    <t>Capri Global Capital Limited</t>
  </si>
  <si>
    <t>INE775A01035</t>
  </si>
  <si>
    <t>Samvardhana Motherson International Ltd</t>
  </si>
  <si>
    <t>Auto Components</t>
  </si>
  <si>
    <t>INE073K01018</t>
  </si>
  <si>
    <t>Sona BLW Precision Forgings Limited</t>
  </si>
  <si>
    <t>INE092A01019</t>
  </si>
  <si>
    <t>Tata Chemicals Ltd</t>
  </si>
  <si>
    <t>Chemicals &amp; Petrochemicals</t>
  </si>
  <si>
    <t>INE090A01021</t>
  </si>
  <si>
    <t>ICICI Bank Limited</t>
  </si>
  <si>
    <t>INE406A01037</t>
  </si>
  <si>
    <t>Aurobindo Pharma Limited</t>
  </si>
  <si>
    <t>Pharmaceuticals &amp; Biotechnology</t>
  </si>
  <si>
    <t>INE616N01034</t>
  </si>
  <si>
    <t>INOX INDIA LIMITED</t>
  </si>
  <si>
    <t>Industrial Products</t>
  </si>
  <si>
    <t>INE877F01012</t>
  </si>
  <si>
    <t>PTC India Limited</t>
  </si>
  <si>
    <t>Power</t>
  </si>
  <si>
    <t>INE364U01010</t>
  </si>
  <si>
    <t>Adani Green Energy Limited</t>
  </si>
  <si>
    <t>INE686F01025</t>
  </si>
  <si>
    <t>UNITED BREWERIES LIMITED</t>
  </si>
  <si>
    <t>Beverages</t>
  </si>
  <si>
    <t>INE935N01020</t>
  </si>
  <si>
    <t>Dixon Technologies (India) Ltd.</t>
  </si>
  <si>
    <t>Consumer Durables</t>
  </si>
  <si>
    <t>Sub Total</t>
  </si>
  <si>
    <t>(b) Unlisted</t>
  </si>
  <si>
    <t>Total</t>
  </si>
  <si>
    <t>DERIVATIVES</t>
  </si>
  <si>
    <t>(a) Index / Stock Futures</t>
  </si>
  <si>
    <t>ADANIENT300626</t>
  </si>
  <si>
    <t>Adani Enterprises Limited 30/06/2026</t>
  </si>
  <si>
    <t>Metals &amp; Minerals Trading</t>
  </si>
  <si>
    <t>INDUSTOWER300626</t>
  </si>
  <si>
    <t>Indus Towers Limited 30/06/2026</t>
  </si>
  <si>
    <t>LAURUSLABS300626</t>
  </si>
  <si>
    <t>Laurus Labs Ltd 30/06/2026</t>
  </si>
  <si>
    <t>HINDALCO300626</t>
  </si>
  <si>
    <t>Hindalco Industries Limited 30/06/2026</t>
  </si>
  <si>
    <t>Non - Ferrous Metals</t>
  </si>
  <si>
    <t>BSE300626</t>
  </si>
  <si>
    <t>BSE Ltd 30/06/2026</t>
  </si>
  <si>
    <t>Capital Markets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</si>
  <si>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</si>
  <si>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</si>
  <si>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</si>
  <si>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</si>
  <si>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</si>
  <si>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</si>
  <si>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</si>
  <si>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</si>
  <si>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</si>
  <si>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</si>
  <si>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</si>
  <si>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</si>
  <si>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</si>
  <si>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</si>
  <si>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</si>
  <si>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</si>
  <si>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</si>
  <si>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</si>
  <si>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</si>
  <si>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</si>
  <si>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</si>
  <si>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</si>
  <si>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</si>
  <si>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</si>
  <si>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</si>
  <si>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</si>
  <si>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</si>
  <si>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</si>
  <si>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</si>
  <si>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</si>
  <si>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</si>
  <si>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</si>
  <si>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INF966L30274</t>
  </si>
  <si>
    <t>qsif Sector Rotation Long-Short Fund-DG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</si>
  <si>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</si>
  <si>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</si>
  <si>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</si>
  <si>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</si>
  <si>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</si>
  <si>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</si>
  <si>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</si>
  <si>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</si>
  <si>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</si>
  <si>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</si>
  <si>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</si>
  <si>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</si>
  <si>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</si>
  <si>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</si>
  <si>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</si>
  <si>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</si>
  <si>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</si>
  <si>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</si>
  <si>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NIL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</si>
  <si>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</si>
  <si>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</si>
  <si>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</si>
  <si>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</si>
  <si>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</si>
  <si>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</si>
  <si>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Short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</si>
  <si>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</si>
  <si>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</si>
  <si>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</si>
  <si>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</si>
  <si>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</si>
  <si>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</si>
  <si>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</si>
  <si>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</si>
  <si>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</si>
  <si>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</si>
  <si>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</si>
  <si>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</si>
  <si>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</si>
  <si>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</si>
  <si>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</si>
  <si>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</si>
  <si>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</si>
  <si>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</si>
  <si>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</si>
  <si>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</si>
  <si>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</si>
  <si>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</si>
  <si>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</si>
  <si>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</si>
  <si>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Qsif Equity Long-Short Fund(G)-Direct Plan</t>
  </si>
  <si>
    <t>Qsif Equity Long-Short Fund(IDCW)-Direct Plan</t>
  </si>
  <si>
    <t>Qsif Equity Long-Short Fund-Reg(G)</t>
  </si>
  <si>
    <t>Qsif Equity Long-Short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</si>
  <si>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</si>
  <si>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</si>
  <si>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</si>
  <si>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18.36%</t>
  </si>
  <si>
    <t xml:space="preserve">Total Investments in foreign securities/ADRs / GDRs as on  29-May-2026 is NIL</t>
  </si>
  <si>
    <t>The Portfolio Turnover Ratio is 0.61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</si>
  <si>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</si>
  <si>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</si>
  <si>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</si>
  <si>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4195.14 Lakhs</t>
  </si>
  <si>
    <t>Risk Band of qSIF EQUITY LONG SHORT FUND</t>
  </si>
  <si>
    <t>Risk Band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</si>
</sst>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/>
    <xf numFmtId="9" applyNumberFormat="1" fontId="4" applyFont="0" fillId="0" applyFill="0" borderId="0" applyBorder="0" applyProtection="0" applyAlignment="0"/>
    <xf numFmtId="0" fontId="4" applyFont="1" fillId="0" borderId="0"/>
  </cellStyleXfs>
  <cellXfs count="19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0" applyNumberFormat="1" fontId="0" applyFont="1" fillId="0" borderId="0" xfId="1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6" applyFont="1" fillId="0" borderId="1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2" applyNumberFormat="1" fontId="6" applyFont="1" fillId="0" borderId="1" applyBorder="1" xfId="0" applyAlignment="1">
      <alignment horizontal="right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5" applyFont="1" fillId="3" applyFill="1" borderId="1" applyBorder="1" xfId="0"/>
    <xf numFmtId="0" fontId="4" applyFont="1" fillId="0" borderId="0" xfId="0"/>
    <xf numFmtId="0" fontId="7" applyFont="1" fillId="0" borderId="0" xfId="2"/>
  </cellXfs>
  <cellStyles count="3">
    <cellStyle name="Normal" xfId="0" builtinId="0"/>
    <cellStyle name="Percent" xfId="1"/>
    <cellStyle name="Normal 2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1838325</xdr:colOff>
      <xdr:row>187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2D4BEA-A53E-4B9D-88FE-63F1B10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71" y="37659235"/>
          <a:ext cx="4322920" cy="74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22413</xdr:colOff>
      <xdr:row>174</xdr:row>
      <xdr:rowOff>171824</xdr:rowOff>
    </xdr:from>
    <xdr:to>
      <xdr:col>2</xdr:col>
      <xdr:colOff>1838325</xdr:colOff>
      <xdr:row>179</xdr:row>
      <xdr:rowOff>29881</xdr:rowOff>
    </xdr:to>
    <xdr:pic>
      <xdr:nvPicPr>
        <xdr:cNvPr id="5" name="Picture 4" descr="C:\Users\150\AppData\Local\Microsoft\Windows\INetCache\Content.Outlook\DZ91JF2P\04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84" y="33535471"/>
          <a:ext cx="4303058" cy="791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tabSelected="1" zoomScale="85" zoomScaleNormal="85" workbookViewId="0">
      <pane ySplit="6" topLeftCell="A7" activePane="bottomLeft" state="frozen"/>
      <selection pane="bottomLeft" activeCell="K10" sqref="K10"/>
    </sheetView>
  </sheetViews>
  <sheetFormatPr defaultRowHeight="14.5" x14ac:dyDescent="0.35"/>
  <cols>
    <col min="1" max="1" width="9.1796875" customWidth="1"/>
    <col min="2" max="2" width="35.45312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3" t="s">
        <v>3</v>
      </c>
    </row>
    <row r="5">
      <c r="C5" s="3" t="s">
        <v>4</v>
      </c>
    </row>
    <row r="6">
      <c r="C6" s="3" t="s">
        <v>4</v>
      </c>
    </row>
    <row r="7">
      <c r="C7" s="3" t="s">
        <v>4</v>
      </c>
    </row>
    <row r="8" ht="15.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280328</v>
      </c>
      <c r="G11" s="7">
        <v>5127.2</v>
      </c>
      <c r="H11" s="6">
        <v>8.659612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352453</v>
      </c>
      <c r="G12" s="7">
        <v>4656.61</v>
      </c>
      <c r="H12" s="6">
        <v>7.864807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5">
      <c r="A13" s="7">
        <v>3</v>
      </c>
      <c r="B13" s="7" t="s">
        <v>24</v>
      </c>
      <c r="C13" s="7" t="s">
        <v>25</v>
      </c>
      <c r="D13" s="7" t="s">
        <v>18</v>
      </c>
      <c r="E13" s="7" t="s">
        <v>19</v>
      </c>
      <c r="F13" s="7">
        <v>851869</v>
      </c>
      <c r="G13" s="7">
        <v>3765.69</v>
      </c>
      <c r="H13" s="6">
        <v>6.360079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5">
      <c r="A14" s="7">
        <v>4</v>
      </c>
      <c r="B14" s="7" t="s">
        <v>26</v>
      </c>
      <c r="C14" s="7" t="s">
        <v>27</v>
      </c>
      <c r="D14" s="7" t="s">
        <v>18</v>
      </c>
      <c r="E14" s="7" t="s">
        <v>28</v>
      </c>
      <c r="F14" s="7">
        <v>250305</v>
      </c>
      <c r="G14" s="7">
        <v>3714.28</v>
      </c>
      <c r="H14" s="6">
        <v>6.273248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15363853</v>
      </c>
      <c r="G15" s="7">
        <v>3556.73</v>
      </c>
      <c r="H15" s="6">
        <v>6.007163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1086739</v>
      </c>
      <c r="G16" s="7">
        <v>3536.25</v>
      </c>
      <c r="H16" s="6">
        <v>5.972568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1150000</v>
      </c>
      <c r="G17" s="7">
        <v>2211.45</v>
      </c>
      <c r="H17" s="6">
        <v>3.735041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5">
      <c r="A18" s="7">
        <v>8</v>
      </c>
      <c r="B18" s="7" t="s">
        <v>38</v>
      </c>
      <c r="C18" s="7" t="s">
        <v>39</v>
      </c>
      <c r="D18" s="7" t="s">
        <v>18</v>
      </c>
      <c r="E18" s="7" t="s">
        <v>31</v>
      </c>
      <c r="F18" s="7">
        <v>208656</v>
      </c>
      <c r="G18" s="7">
        <v>2054.64</v>
      </c>
      <c r="H18" s="6">
        <v>3.470189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5">
      <c r="A19" s="7">
        <v>9</v>
      </c>
      <c r="B19" s="7" t="s">
        <v>40</v>
      </c>
      <c r="C19" s="7" t="s">
        <v>41</v>
      </c>
      <c r="D19" s="7" t="s">
        <v>18</v>
      </c>
      <c r="E19" s="7" t="s">
        <v>34</v>
      </c>
      <c r="F19" s="7">
        <v>995000</v>
      </c>
      <c r="G19" s="7">
        <v>1973.68</v>
      </c>
      <c r="H19" s="6">
        <v>3.333462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5">
      <c r="A20" s="7">
        <v>10</v>
      </c>
      <c r="B20" s="7" t="s">
        <v>42</v>
      </c>
      <c r="C20" s="7" t="s">
        <v>43</v>
      </c>
      <c r="D20" s="7" t="s">
        <v>18</v>
      </c>
      <c r="E20" s="7" t="s">
        <v>44</v>
      </c>
      <c r="F20" s="7">
        <v>1249215</v>
      </c>
      <c r="G20" s="7">
        <v>1820.61</v>
      </c>
      <c r="H20" s="6">
        <v>3.074923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5">
      <c r="A21" s="7">
        <v>11</v>
      </c>
      <c r="B21" s="7" t="s">
        <v>45</v>
      </c>
      <c r="C21" s="7" t="s">
        <v>46</v>
      </c>
      <c r="D21" s="7" t="s">
        <v>18</v>
      </c>
      <c r="E21" s="7" t="s">
        <v>44</v>
      </c>
      <c r="F21" s="7">
        <v>290000</v>
      </c>
      <c r="G21" s="7">
        <v>1761.61</v>
      </c>
      <c r="H21" s="6">
        <v>2.975273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5">
      <c r="A22" s="7">
        <v>12</v>
      </c>
      <c r="B22" s="7" t="s">
        <v>47</v>
      </c>
      <c r="C22" s="7" t="s">
        <v>48</v>
      </c>
      <c r="D22" s="7" t="s">
        <v>18</v>
      </c>
      <c r="E22" s="7" t="s">
        <v>49</v>
      </c>
      <c r="F22" s="7">
        <v>212535</v>
      </c>
      <c r="G22" s="7">
        <v>1611.02</v>
      </c>
      <c r="H22" s="6">
        <v>2.720934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5">
      <c r="A23" s="7">
        <v>13</v>
      </c>
      <c r="B23" s="7" t="s">
        <v>50</v>
      </c>
      <c r="C23" s="7" t="s">
        <v>51</v>
      </c>
      <c r="D23" s="7" t="s">
        <v>18</v>
      </c>
      <c r="E23" s="7" t="s">
        <v>31</v>
      </c>
      <c r="F23" s="7">
        <v>118964</v>
      </c>
      <c r="G23" s="7">
        <v>1494.66</v>
      </c>
      <c r="H23" s="6">
        <v>2.524421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5">
      <c r="A24" s="7">
        <v>14</v>
      </c>
      <c r="B24" s="7" t="s">
        <v>52</v>
      </c>
      <c r="C24" s="7" t="s">
        <v>53</v>
      </c>
      <c r="D24" s="7" t="s">
        <v>18</v>
      </c>
      <c r="E24" s="7" t="s">
        <v>54</v>
      </c>
      <c r="F24" s="7">
        <v>97544</v>
      </c>
      <c r="G24" s="7">
        <v>1391.37</v>
      </c>
      <c r="H24" s="6">
        <v>2.349958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88569</v>
      </c>
      <c r="G25" s="7">
        <v>1322.87</v>
      </c>
      <c r="H25" s="6">
        <v>2.234263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5">
      <c r="A26" s="7">
        <v>16</v>
      </c>
      <c r="B26" s="7" t="s">
        <v>58</v>
      </c>
      <c r="C26" s="7" t="s">
        <v>59</v>
      </c>
      <c r="D26" s="7" t="s">
        <v>18</v>
      </c>
      <c r="E26" s="7" t="s">
        <v>60</v>
      </c>
      <c r="F26" s="7">
        <v>640998</v>
      </c>
      <c r="G26" s="7">
        <v>1173.99</v>
      </c>
      <c r="H26" s="6">
        <v>1.982813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5">
      <c r="A27" s="7">
        <v>17</v>
      </c>
      <c r="B27" s="7" t="s">
        <v>61</v>
      </c>
      <c r="C27" s="7" t="s">
        <v>62</v>
      </c>
      <c r="D27" s="7" t="s">
        <v>18</v>
      </c>
      <c r="E27" s="7" t="s">
        <v>60</v>
      </c>
      <c r="F27" s="7">
        <v>73992</v>
      </c>
      <c r="G27" s="7">
        <v>1091.68</v>
      </c>
      <c r="H27" s="6">
        <v>1.843796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5">
      <c r="A28" s="7">
        <v>18</v>
      </c>
      <c r="B28" s="7" t="s">
        <v>63</v>
      </c>
      <c r="C28" s="7" t="s">
        <v>64</v>
      </c>
      <c r="D28" s="7" t="s">
        <v>18</v>
      </c>
      <c r="E28" s="7" t="s">
        <v>65</v>
      </c>
      <c r="F28" s="7">
        <v>75479</v>
      </c>
      <c r="G28" s="7">
        <v>996.32</v>
      </c>
      <c r="H28" s="6">
        <v>1.682745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5">
      <c r="A29" s="7">
        <v>19</v>
      </c>
      <c r="B29" s="7" t="s">
        <v>66</v>
      </c>
      <c r="C29" s="7" t="s">
        <v>67</v>
      </c>
      <c r="D29" s="7" t="s">
        <v>18</v>
      </c>
      <c r="E29" s="7" t="s">
        <v>68</v>
      </c>
      <c r="F29" s="7">
        <v>7500</v>
      </c>
      <c r="G29" s="7">
        <v>864.3</v>
      </c>
      <c r="H29" s="6">
        <v>1.459764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5">
      <c r="A30" s="4"/>
      <c r="B30" s="4" t="s">
        <v>4</v>
      </c>
      <c r="C30" s="4" t="s">
        <v>69</v>
      </c>
      <c r="D30" s="4" t="s">
        <v>4</v>
      </c>
      <c r="E30" s="4" t="s">
        <v>4</v>
      </c>
      <c r="F30" s="4" t="s">
        <v>4</v>
      </c>
      <c r="G30" s="4">
        <v>44124.93</v>
      </c>
      <c r="H30" s="5">
        <v>74.525059</v>
      </c>
      <c r="I30" s="6"/>
      <c r="J30" s="0" t="s">
        <v>4</v>
      </c>
      <c r="K30" s="0" t="s">
        <v>4</v>
      </c>
      <c r="L30" s="0" t="s">
        <v>4</v>
      </c>
    </row>
    <row r="31" ht="15.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5">
      <c r="A32" s="4"/>
      <c r="B32" s="4" t="s">
        <v>4</v>
      </c>
      <c r="C32" s="4" t="s">
        <v>70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5">
      <c r="A33" s="4"/>
      <c r="B33" s="4" t="s">
        <v>4</v>
      </c>
      <c r="C33" s="4" t="s">
        <v>69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5">
      <c r="A34" s="4"/>
      <c r="B34" s="4" t="s">
        <v>4</v>
      </c>
      <c r="C34" s="4" t="s">
        <v>71</v>
      </c>
      <c r="D34" s="4" t="s">
        <v>4</v>
      </c>
      <c r="E34" s="4" t="s">
        <v>4</v>
      </c>
      <c r="F34" s="4" t="s">
        <v>4</v>
      </c>
      <c r="G34" s="4">
        <v>44124.93</v>
      </c>
      <c r="H34" s="5">
        <v>74.525059</v>
      </c>
      <c r="I34" s="6"/>
      <c r="J34" s="0" t="s">
        <v>4</v>
      </c>
      <c r="K34" s="0" t="s">
        <v>4</v>
      </c>
      <c r="L34" s="0" t="s">
        <v>4</v>
      </c>
    </row>
    <row r="35" ht="15.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5">
      <c r="A36" s="4"/>
      <c r="B36" s="4" t="s">
        <v>4</v>
      </c>
      <c r="C36" s="4" t="s">
        <v>72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5">
      <c r="A37" s="4"/>
      <c r="B37" s="4" t="s">
        <v>4</v>
      </c>
      <c r="C37" s="4" t="s">
        <v>73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L37" s="0" t="s">
        <v>4</v>
      </c>
    </row>
    <row r="38" ht="15.5">
      <c r="A38" s="7">
        <v>20</v>
      </c>
      <c r="B38" s="7" t="s">
        <v>74</v>
      </c>
      <c r="C38" s="7" t="s">
        <v>75</v>
      </c>
      <c r="D38" s="7" t="s">
        <v>18</v>
      </c>
      <c r="E38" s="7" t="s">
        <v>76</v>
      </c>
      <c r="F38" s="7">
        <v>132561</v>
      </c>
      <c r="G38" s="7">
        <v>3931.1</v>
      </c>
      <c r="H38" s="6">
        <v>6.639448</v>
      </c>
      <c r="I38" s="6" t="s">
        <v>20</v>
      </c>
      <c r="J38" s="0" t="s">
        <v>4</v>
      </c>
      <c r="L38" s="0" t="s">
        <v>4</v>
      </c>
    </row>
    <row r="39" ht="15.5">
      <c r="A39" s="7">
        <v>21</v>
      </c>
      <c r="B39" s="7" t="s">
        <v>77</v>
      </c>
      <c r="C39" s="7" t="s">
        <v>78</v>
      </c>
      <c r="D39" s="7" t="s">
        <v>18</v>
      </c>
      <c r="E39" s="7" t="s">
        <v>19</v>
      </c>
      <c r="F39" s="7">
        <v>399500</v>
      </c>
      <c r="G39" s="7">
        <v>1782.97</v>
      </c>
      <c r="H39" s="6">
        <v>3.011355</v>
      </c>
      <c r="I39" s="6" t="s">
        <v>20</v>
      </c>
      <c r="J39" s="0" t="s">
        <v>4</v>
      </c>
      <c r="K39" s="3"/>
      <c r="L39" s="0" t="s">
        <v>4</v>
      </c>
    </row>
    <row r="40" ht="15.5">
      <c r="A40" s="7">
        <v>22</v>
      </c>
      <c r="B40" s="7" t="s">
        <v>79</v>
      </c>
      <c r="C40" s="7" t="s">
        <v>80</v>
      </c>
      <c r="D40" s="7" t="s">
        <v>18</v>
      </c>
      <c r="E40" s="7" t="s">
        <v>54</v>
      </c>
      <c r="F40" s="7">
        <v>-82450</v>
      </c>
      <c r="G40" s="7">
        <v>-1133.69</v>
      </c>
      <c r="H40" s="6">
        <v>-1.914748</v>
      </c>
      <c r="I40" s="6" t="s">
        <v>20</v>
      </c>
      <c r="J40" s="0" t="s">
        <v>4</v>
      </c>
      <c r="K40" s="3"/>
      <c r="L40" s="0" t="s">
        <v>4</v>
      </c>
    </row>
    <row r="41" ht="15.5">
      <c r="A41" s="7">
        <v>23</v>
      </c>
      <c r="B41" s="7" t="s">
        <v>81</v>
      </c>
      <c r="C41" s="7" t="s">
        <v>82</v>
      </c>
      <c r="D41" s="7" t="s">
        <v>18</v>
      </c>
      <c r="E41" s="7" t="s">
        <v>83</v>
      </c>
      <c r="F41" s="7">
        <v>-170800</v>
      </c>
      <c r="G41" s="7">
        <v>-1947.29</v>
      </c>
      <c r="H41" s="6">
        <v>-3.288888</v>
      </c>
      <c r="I41" s="6" t="s">
        <v>20</v>
      </c>
      <c r="J41" s="0" t="s">
        <v>4</v>
      </c>
      <c r="K41" s="3"/>
      <c r="L41" s="0" t="s">
        <v>4</v>
      </c>
    </row>
    <row r="42" ht="15.5">
      <c r="A42" s="7">
        <v>24</v>
      </c>
      <c r="B42" s="7" t="s">
        <v>84</v>
      </c>
      <c r="C42" s="7" t="s">
        <v>85</v>
      </c>
      <c r="D42" s="7" t="s">
        <v>18</v>
      </c>
      <c r="E42" s="7" t="s">
        <v>86</v>
      </c>
      <c r="F42" s="7">
        <v>-49500</v>
      </c>
      <c r="G42" s="7">
        <v>-2075.14</v>
      </c>
      <c r="H42" s="6">
        <v>-3.504818</v>
      </c>
      <c r="I42" s="6" t="s">
        <v>20</v>
      </c>
      <c r="J42" s="0" t="s">
        <v>4</v>
      </c>
      <c r="K42" s="3"/>
      <c r="L42" s="0" t="s">
        <v>4</v>
      </c>
    </row>
    <row r="43" ht="15.5">
      <c r="A43" s="4"/>
      <c r="B43" s="4" t="s">
        <v>4</v>
      </c>
      <c r="C43" s="4" t="s">
        <v>69</v>
      </c>
      <c r="D43" s="4" t="s">
        <v>4</v>
      </c>
      <c r="E43" s="4" t="s">
        <v>4</v>
      </c>
      <c r="F43" s="4" t="s">
        <v>4</v>
      </c>
      <c r="G43" s="4">
        <v>557.95</v>
      </c>
      <c r="H43" s="5">
        <v>0.942349</v>
      </c>
      <c r="I43" s="6"/>
      <c r="J43" s="0" t="s">
        <v>4</v>
      </c>
      <c r="L43" s="0" t="s">
        <v>4</v>
      </c>
    </row>
    <row r="44" ht="15.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L44" s="0" t="s">
        <v>4</v>
      </c>
    </row>
    <row r="45" ht="15.5">
      <c r="A45" s="4"/>
      <c r="B45" s="4" t="s">
        <v>4</v>
      </c>
      <c r="C45" s="4" t="s">
        <v>87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L45" s="0" t="s">
        <v>4</v>
      </c>
    </row>
    <row r="46" ht="15.5">
      <c r="A46" s="4"/>
      <c r="B46" s="4" t="s">
        <v>4</v>
      </c>
      <c r="C46" s="4" t="s">
        <v>69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L46" s="0" t="s">
        <v>4</v>
      </c>
    </row>
    <row r="47" ht="15.5">
      <c r="A47" s="4"/>
      <c r="B47" s="4" t="s">
        <v>4</v>
      </c>
      <c r="C47" s="4" t="s">
        <v>71</v>
      </c>
      <c r="D47" s="4" t="s">
        <v>4</v>
      </c>
      <c r="E47" s="4" t="s">
        <v>4</v>
      </c>
      <c r="F47" s="4" t="s">
        <v>4</v>
      </c>
      <c r="G47" s="4">
        <v>557.95</v>
      </c>
      <c r="H47" s="5">
        <v>0.942349</v>
      </c>
      <c r="I47" s="6"/>
      <c r="J47" s="0" t="s">
        <v>4</v>
      </c>
      <c r="L47" s="0" t="s">
        <v>4</v>
      </c>
    </row>
    <row r="48" ht="15.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5">
      <c r="A49" s="4"/>
      <c r="B49" s="4" t="s">
        <v>4</v>
      </c>
      <c r="C49" s="4" t="s">
        <v>88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5">
      <c r="A50" s="4"/>
      <c r="B50" s="4" t="s">
        <v>4</v>
      </c>
      <c r="C50" s="4" t="s">
        <v>89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5">
      <c r="A51" s="4"/>
      <c r="B51" s="4" t="s">
        <v>4</v>
      </c>
      <c r="C51" s="4" t="s">
        <v>69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5">
      <c r="A53" s="4"/>
      <c r="B53" s="4" t="s">
        <v>4</v>
      </c>
      <c r="C53" s="4" t="s">
        <v>90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5">
      <c r="A54" s="4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5">
      <c r="A56" s="4"/>
      <c r="B56" s="4" t="s">
        <v>4</v>
      </c>
      <c r="C56" s="4" t="s">
        <v>91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5">
      <c r="A57" s="4"/>
      <c r="B57" s="4" t="s">
        <v>4</v>
      </c>
      <c r="C57" s="4" t="s">
        <v>69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5">
      <c r="A58" s="4"/>
      <c r="B58" s="4" t="s">
        <v>4</v>
      </c>
      <c r="C58" s="4" t="s">
        <v>71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5">
      <c r="A60" s="4"/>
      <c r="B60" s="4" t="s">
        <v>4</v>
      </c>
      <c r="C60" s="4" t="s">
        <v>92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5">
      <c r="A61" s="4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5">
      <c r="A62" s="4"/>
      <c r="B62" s="4" t="s">
        <v>4</v>
      </c>
      <c r="C62" s="4" t="s">
        <v>69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5">
      <c r="A64" s="4"/>
      <c r="B64" s="4" t="s">
        <v>4</v>
      </c>
      <c r="C64" s="4" t="s">
        <v>94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5">
      <c r="A65" s="4"/>
      <c r="B65" s="4" t="s">
        <v>4</v>
      </c>
      <c r="C65" s="4" t="s">
        <v>69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5">
      <c r="A67" s="4"/>
      <c r="B67" s="4" t="s">
        <v>4</v>
      </c>
      <c r="C67" s="4" t="s">
        <v>95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5">
      <c r="A68" s="7">
        <v>25</v>
      </c>
      <c r="B68" s="7" t="s">
        <v>96</v>
      </c>
      <c r="C68" s="7" t="s">
        <v>97</v>
      </c>
      <c r="D68" s="7" t="s">
        <v>98</v>
      </c>
      <c r="E68" s="7" t="s">
        <v>18</v>
      </c>
      <c r="F68" s="7">
        <v>500000</v>
      </c>
      <c r="G68" s="7">
        <v>499.65</v>
      </c>
      <c r="H68" s="6">
        <v>0.843883</v>
      </c>
      <c r="I68" s="6">
        <v>5.1507</v>
      </c>
      <c r="J68" s="0" t="s">
        <v>4</v>
      </c>
      <c r="K68" s="0" t="s">
        <v>4</v>
      </c>
      <c r="L68" s="0" t="s">
        <v>4</v>
      </c>
    </row>
    <row r="69" ht="15.5">
      <c r="A69" s="7">
        <v>26</v>
      </c>
      <c r="B69" s="7" t="s">
        <v>99</v>
      </c>
      <c r="C69" s="7" t="s">
        <v>100</v>
      </c>
      <c r="D69" s="7" t="s">
        <v>98</v>
      </c>
      <c r="E69" s="7" t="s">
        <v>18</v>
      </c>
      <c r="F69" s="7">
        <v>500000</v>
      </c>
      <c r="G69" s="7">
        <v>499.13</v>
      </c>
      <c r="H69" s="6">
        <v>0.843009</v>
      </c>
      <c r="I69" s="6">
        <v>5.3</v>
      </c>
      <c r="J69" s="0" t="s">
        <v>4</v>
      </c>
      <c r="K69" s="0" t="s">
        <v>4</v>
      </c>
      <c r="L69" s="0" t="s">
        <v>4</v>
      </c>
    </row>
    <row r="70" ht="15.5">
      <c r="A70" s="7">
        <v>27</v>
      </c>
      <c r="B70" s="7" t="s">
        <v>101</v>
      </c>
      <c r="C70" s="7" t="s">
        <v>102</v>
      </c>
      <c r="D70" s="7" t="s">
        <v>98</v>
      </c>
      <c r="E70" s="7" t="s">
        <v>18</v>
      </c>
      <c r="F70" s="7">
        <v>500000</v>
      </c>
      <c r="G70" s="7">
        <v>496.54</v>
      </c>
      <c r="H70" s="6">
        <v>0.838627</v>
      </c>
      <c r="I70" s="6">
        <v>5.4181</v>
      </c>
      <c r="J70" s="0" t="s">
        <v>4</v>
      </c>
      <c r="K70" s="0" t="s">
        <v>4</v>
      </c>
      <c r="L70" s="0" t="s">
        <v>4</v>
      </c>
    </row>
    <row r="71" ht="15.5">
      <c r="A71" s="7">
        <v>28</v>
      </c>
      <c r="B71" s="7" t="s">
        <v>103</v>
      </c>
      <c r="C71" s="7" t="s">
        <v>104</v>
      </c>
      <c r="D71" s="7" t="s">
        <v>98</v>
      </c>
      <c r="E71" s="7" t="s">
        <v>18</v>
      </c>
      <c r="F71" s="7">
        <v>500000</v>
      </c>
      <c r="G71" s="7">
        <v>495.97</v>
      </c>
      <c r="H71" s="6">
        <v>0.837674</v>
      </c>
      <c r="I71" s="6">
        <v>5.49</v>
      </c>
      <c r="J71" s="0" t="s">
        <v>4</v>
      </c>
      <c r="K71" s="0" t="s">
        <v>4</v>
      </c>
      <c r="L71" s="0" t="s">
        <v>4</v>
      </c>
    </row>
    <row r="72" ht="15.5">
      <c r="A72" s="7">
        <v>29</v>
      </c>
      <c r="B72" s="7" t="s">
        <v>105</v>
      </c>
      <c r="C72" s="7" t="s">
        <v>106</v>
      </c>
      <c r="D72" s="7" t="s">
        <v>98</v>
      </c>
      <c r="E72" s="7" t="s">
        <v>18</v>
      </c>
      <c r="F72" s="7">
        <v>500000</v>
      </c>
      <c r="G72" s="7">
        <v>495.51</v>
      </c>
      <c r="H72" s="6">
        <v>0.8369</v>
      </c>
      <c r="I72" s="6">
        <v>5.4181</v>
      </c>
      <c r="J72" s="0" t="s">
        <v>4</v>
      </c>
      <c r="K72" s="0" t="s">
        <v>4</v>
      </c>
      <c r="L72" s="0" t="s">
        <v>4</v>
      </c>
    </row>
    <row r="73" ht="15.5">
      <c r="A73" s="7">
        <v>30</v>
      </c>
      <c r="B73" s="7" t="s">
        <v>107</v>
      </c>
      <c r="C73" s="7" t="s">
        <v>108</v>
      </c>
      <c r="D73" s="7" t="s">
        <v>98</v>
      </c>
      <c r="E73" s="7" t="s">
        <v>18</v>
      </c>
      <c r="F73" s="7">
        <v>500000</v>
      </c>
      <c r="G73" s="7">
        <v>494.93</v>
      </c>
      <c r="H73" s="6">
        <v>0.835912</v>
      </c>
      <c r="I73" s="6">
        <v>5.5</v>
      </c>
      <c r="J73" s="0" t="s">
        <v>4</v>
      </c>
      <c r="K73" s="0" t="s">
        <v>4</v>
      </c>
      <c r="L73" s="0" t="s">
        <v>4</v>
      </c>
    </row>
    <row r="74" ht="15.5">
      <c r="A74" s="7">
        <v>31</v>
      </c>
      <c r="B74" s="7" t="s">
        <v>109</v>
      </c>
      <c r="C74" s="7" t="s">
        <v>110</v>
      </c>
      <c r="D74" s="7" t="s">
        <v>98</v>
      </c>
      <c r="E74" s="7" t="s">
        <v>18</v>
      </c>
      <c r="F74" s="7">
        <v>500000</v>
      </c>
      <c r="G74" s="7">
        <v>494.41</v>
      </c>
      <c r="H74" s="6">
        <v>0.835041</v>
      </c>
      <c r="I74" s="6">
        <v>5.5</v>
      </c>
      <c r="J74" s="0" t="s">
        <v>4</v>
      </c>
      <c r="K74" s="0" t="s">
        <v>4</v>
      </c>
      <c r="L74" s="0" t="s">
        <v>4</v>
      </c>
    </row>
    <row r="75" ht="15.5">
      <c r="A75" s="7">
        <v>32</v>
      </c>
      <c r="B75" s="7" t="s">
        <v>111</v>
      </c>
      <c r="C75" s="7" t="s">
        <v>112</v>
      </c>
      <c r="D75" s="7" t="s">
        <v>98</v>
      </c>
      <c r="E75" s="7" t="s">
        <v>18</v>
      </c>
      <c r="F75" s="7">
        <v>500000</v>
      </c>
      <c r="G75" s="7">
        <v>493.87</v>
      </c>
      <c r="H75" s="6">
        <v>0.834125</v>
      </c>
      <c r="I75" s="6">
        <v>5.5246</v>
      </c>
      <c r="J75" s="0" t="s">
        <v>4</v>
      </c>
      <c r="K75" s="0" t="s">
        <v>4</v>
      </c>
      <c r="L75" s="0" t="s">
        <v>4</v>
      </c>
    </row>
    <row r="76" ht="15.5">
      <c r="A76" s="7">
        <v>33</v>
      </c>
      <c r="B76" s="7" t="s">
        <v>113</v>
      </c>
      <c r="C76" s="7" t="s">
        <v>114</v>
      </c>
      <c r="D76" s="7" t="s">
        <v>98</v>
      </c>
      <c r="E76" s="7" t="s">
        <v>18</v>
      </c>
      <c r="F76" s="7">
        <v>400000</v>
      </c>
      <c r="G76" s="7">
        <v>394.65</v>
      </c>
      <c r="H76" s="6">
        <v>0.666543</v>
      </c>
      <c r="I76" s="6">
        <v>5.5</v>
      </c>
      <c r="J76" s="0" t="s">
        <v>4</v>
      </c>
      <c r="K76" s="0" t="s">
        <v>4</v>
      </c>
      <c r="L76" s="0" t="s">
        <v>4</v>
      </c>
    </row>
    <row r="77" ht="15.5">
      <c r="A77" s="4"/>
      <c r="B77" s="4" t="s">
        <v>4</v>
      </c>
      <c r="C77" s="4" t="s">
        <v>69</v>
      </c>
      <c r="D77" s="4" t="s">
        <v>4</v>
      </c>
      <c r="E77" s="4" t="s">
        <v>4</v>
      </c>
      <c r="F77" s="4" t="s">
        <v>4</v>
      </c>
      <c r="G77" s="4">
        <v>4364.66</v>
      </c>
      <c r="H77" s="5">
        <v>7.371714</v>
      </c>
      <c r="I77" s="6"/>
      <c r="J77" s="0" t="s">
        <v>4</v>
      </c>
      <c r="K77" s="0" t="s">
        <v>4</v>
      </c>
      <c r="L77" s="0" t="s">
        <v>4</v>
      </c>
    </row>
    <row r="78" ht="15.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5">
      <c r="A79" s="4"/>
      <c r="B79" s="4" t="s">
        <v>4</v>
      </c>
      <c r="C79" s="4" t="s">
        <v>115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5">
      <c r="A80" s="4"/>
      <c r="B80" s="4" t="s">
        <v>4</v>
      </c>
      <c r="C80" s="4" t="s">
        <v>69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5">
      <c r="A81" s="4"/>
      <c r="B81" s="4" t="s">
        <v>4</v>
      </c>
      <c r="C81" s="4" t="s">
        <v>71</v>
      </c>
      <c r="D81" s="4" t="s">
        <v>4</v>
      </c>
      <c r="E81" s="4" t="s">
        <v>4</v>
      </c>
      <c r="F81" s="4" t="s">
        <v>4</v>
      </c>
      <c r="G81" s="4">
        <v>4364.66</v>
      </c>
      <c r="H81" s="5">
        <v>7.371714</v>
      </c>
      <c r="I81" s="6"/>
      <c r="J81" s="0" t="s">
        <v>4</v>
      </c>
      <c r="K81" s="0" t="s">
        <v>4</v>
      </c>
      <c r="L81" s="0" t="s">
        <v>4</v>
      </c>
    </row>
    <row r="82" ht="15.5">
      <c r="A82" s="4"/>
      <c r="B82" s="4" t="s">
        <v>4</v>
      </c>
      <c r="C82" s="4" t="s">
        <v>116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5">
      <c r="A83" s="4"/>
      <c r="B83" s="4" t="s">
        <v>4</v>
      </c>
      <c r="C83" s="4" t="s">
        <v>71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5">
      <c r="A85" s="4"/>
      <c r="B85" s="4" t="s">
        <v>4</v>
      </c>
      <c r="C85" s="4" t="s">
        <v>117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5">
      <c r="A86" s="4"/>
      <c r="B86" s="4" t="s">
        <v>4</v>
      </c>
      <c r="C86" s="4" t="s">
        <v>118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5">
      <c r="A87" s="7">
        <v>34</v>
      </c>
      <c r="B87" s="7" t="s">
        <v>119</v>
      </c>
      <c r="C87" s="7" t="s">
        <v>120</v>
      </c>
      <c r="D87" s="7" t="s">
        <v>18</v>
      </c>
      <c r="E87" s="7" t="s">
        <v>18</v>
      </c>
      <c r="F87" s="7">
        <v>4999750.01</v>
      </c>
      <c r="G87" s="7">
        <v>503.69</v>
      </c>
      <c r="H87" s="6">
        <v>0.850718</v>
      </c>
      <c r="I87" s="6" t="s">
        <v>20</v>
      </c>
      <c r="J87" s="0" t="s">
        <v>4</v>
      </c>
      <c r="K87" s="0" t="s">
        <v>4</v>
      </c>
      <c r="L87" s="0" t="s">
        <v>4</v>
      </c>
    </row>
    <row r="88" ht="15.5">
      <c r="A88" s="4"/>
      <c r="B88" s="4" t="s">
        <v>4</v>
      </c>
      <c r="C88" s="4" t="s">
        <v>69</v>
      </c>
      <c r="D88" s="4" t="s">
        <v>4</v>
      </c>
      <c r="E88" s="4" t="s">
        <v>4</v>
      </c>
      <c r="F88" s="4" t="s">
        <v>4</v>
      </c>
      <c r="G88" s="4">
        <v>503.69</v>
      </c>
      <c r="H88" s="5">
        <v>0.850718</v>
      </c>
      <c r="I88" s="6"/>
      <c r="J88" s="0" t="s">
        <v>4</v>
      </c>
      <c r="K88" s="0" t="s">
        <v>4</v>
      </c>
      <c r="L88" s="0" t="s">
        <v>4</v>
      </c>
    </row>
    <row r="89" ht="15.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5">
      <c r="A90" s="4"/>
      <c r="B90" s="4" t="s">
        <v>4</v>
      </c>
      <c r="C90" s="4" t="s">
        <v>121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5">
      <c r="A91" s="4"/>
      <c r="B91" s="4" t="s">
        <v>4</v>
      </c>
      <c r="C91" s="4" t="s">
        <v>69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5">
      <c r="A93" s="4"/>
      <c r="B93" s="4" t="s">
        <v>4</v>
      </c>
      <c r="C93" s="4" t="s">
        <v>122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5">
      <c r="A94" s="7">
        <v>35</v>
      </c>
      <c r="B94" s="7" t="s">
        <v>123</v>
      </c>
      <c r="C94" s="7" t="s">
        <v>124</v>
      </c>
      <c r="D94" s="7" t="s">
        <v>18</v>
      </c>
      <c r="E94" s="7" t="s">
        <v>18</v>
      </c>
      <c r="F94" s="7">
        <v>92651.4</v>
      </c>
      <c r="G94" s="7">
        <v>9262.43</v>
      </c>
      <c r="H94" s="6">
        <v>15.643842</v>
      </c>
      <c r="I94" s="6">
        <v>5.7906</v>
      </c>
      <c r="J94" s="0" t="s">
        <v>4</v>
      </c>
      <c r="K94" s="0" t="s">
        <v>4</v>
      </c>
      <c r="L94" s="0" t="s">
        <v>4</v>
      </c>
    </row>
    <row r="95" ht="15.5">
      <c r="A95" s="4"/>
      <c r="B95" s="4" t="s">
        <v>4</v>
      </c>
      <c r="C95" s="4" t="s">
        <v>69</v>
      </c>
      <c r="D95" s="4" t="s">
        <v>4</v>
      </c>
      <c r="E95" s="4" t="s">
        <v>4</v>
      </c>
      <c r="F95" s="4" t="s">
        <v>4</v>
      </c>
      <c r="G95" s="4">
        <v>9262.43</v>
      </c>
      <c r="H95" s="5">
        <v>15.643842</v>
      </c>
      <c r="I95" s="6"/>
      <c r="J95" s="0" t="s">
        <v>4</v>
      </c>
      <c r="K95" s="0" t="s">
        <v>4</v>
      </c>
      <c r="L95" s="0" t="s">
        <v>4</v>
      </c>
    </row>
    <row r="96" ht="15.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5">
      <c r="A97" s="4"/>
      <c r="B97" s="4" t="s">
        <v>4</v>
      </c>
      <c r="C97" s="4" t="s">
        <v>125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5">
      <c r="A98" s="7">
        <v>36</v>
      </c>
      <c r="B98" s="7" t="s">
        <v>4</v>
      </c>
      <c r="C98" s="7" t="s">
        <v>126</v>
      </c>
      <c r="D98" s="7" t="s">
        <v>18</v>
      </c>
      <c r="E98" s="7" t="s">
        <v>18</v>
      </c>
      <c r="F98" s="7" t="s">
        <v>4</v>
      </c>
      <c r="G98" s="6">
        <v>394.5155106</v>
      </c>
      <c r="H98" s="6">
        <v>0.67</v>
      </c>
      <c r="I98" s="6"/>
      <c r="J98" s="0" t="s">
        <v>4</v>
      </c>
      <c r="K98" s="0" t="s">
        <v>4</v>
      </c>
      <c r="L98" s="0" t="s">
        <v>4</v>
      </c>
    </row>
    <row r="99" ht="15.5">
      <c r="A99" s="4"/>
      <c r="B99" s="4" t="s">
        <v>4</v>
      </c>
      <c r="C99" s="4" t="s">
        <v>69</v>
      </c>
      <c r="D99" s="4" t="s">
        <v>4</v>
      </c>
      <c r="E99" s="4" t="s">
        <v>4</v>
      </c>
      <c r="F99" s="4" t="s">
        <v>4</v>
      </c>
      <c r="G99" s="5">
        <v>394.5155106</v>
      </c>
      <c r="H99" s="5">
        <v>0.67</v>
      </c>
      <c r="I99" s="6"/>
      <c r="J99" s="0" t="s">
        <v>4</v>
      </c>
      <c r="K99" s="0" t="s">
        <v>4</v>
      </c>
      <c r="L99" s="0" t="s">
        <v>4</v>
      </c>
    </row>
    <row r="100" ht="15.5">
      <c r="A100" s="4"/>
      <c r="B100" s="4" t="s">
        <v>4</v>
      </c>
      <c r="C100" s="4" t="s">
        <v>71</v>
      </c>
      <c r="D100" s="4" t="s">
        <v>4</v>
      </c>
      <c r="E100" s="4" t="s">
        <v>4</v>
      </c>
      <c r="F100" s="4" t="s">
        <v>4</v>
      </c>
      <c r="G100" s="5">
        <f>G88+G95+G99</f>
        <v>10160.635510600001</v>
      </c>
      <c r="H100" s="5">
        <f>H88+H95+H99</f>
        <v>17.16456</v>
      </c>
      <c r="I100" s="6"/>
      <c r="J100" s="0" t="s">
        <v>4</v>
      </c>
      <c r="K100" s="8"/>
      <c r="L100" s="0" t="s">
        <v>4</v>
      </c>
    </row>
    <row r="101" ht="15.5">
      <c r="A101" s="4"/>
      <c r="B101" s="4" t="s">
        <v>4</v>
      </c>
      <c r="C101" s="4" t="s">
        <v>127</v>
      </c>
      <c r="D101" s="4" t="s">
        <v>4</v>
      </c>
      <c r="E101" s="4" t="s">
        <v>4</v>
      </c>
      <c r="F101" s="4" t="s">
        <v>4</v>
      </c>
      <c r="G101" s="4">
        <v>59208.18</v>
      </c>
      <c r="H101" s="4">
        <v>100</v>
      </c>
      <c r="I101" s="7"/>
      <c r="J101" s="0" t="s">
        <v>4</v>
      </c>
      <c r="L101" s="0" t="s">
        <v>4</v>
      </c>
    </row>
    <row r="103">
      <c r="B103" s="9" t="s">
        <v>128</v>
      </c>
      <c r="C103" s="9"/>
      <c r="D103" s="9"/>
      <c r="E103" s="9"/>
      <c r="F103" s="9"/>
    </row>
    <row r="104">
      <c r="B104" s="9" t="s">
        <v>129</v>
      </c>
      <c r="C104" s="9"/>
      <c r="D104" s="9"/>
      <c r="E104" s="9"/>
      <c r="F104" s="9"/>
    </row>
    <row r="105">
      <c r="B105" s="10" t="s">
        <v>130</v>
      </c>
      <c r="C105" s="10" t="s">
        <v>131</v>
      </c>
      <c r="D105" s="10" t="s">
        <v>132</v>
      </c>
      <c r="E105" s="10" t="s">
        <v>133</v>
      </c>
      <c r="F105" s="11" t="s">
        <v>134</v>
      </c>
    </row>
    <row r="106">
      <c r="B106" s="10"/>
      <c r="C106" s="10"/>
      <c r="D106" s="10"/>
      <c r="E106" s="10"/>
      <c r="F106" s="10"/>
    </row>
    <row r="107">
      <c r="B107" s="10" t="s">
        <v>135</v>
      </c>
      <c r="C107" s="10"/>
      <c r="D107" s="10"/>
      <c r="E107" s="10"/>
      <c r="F107" s="10"/>
    </row>
    <row r="109">
      <c r="B109" s="9" t="s">
        <v>136</v>
      </c>
      <c r="C109" s="9"/>
      <c r="D109" s="9"/>
      <c r="E109" s="9"/>
      <c r="F109" s="9"/>
    </row>
    <row r="110">
      <c r="B110" s="10" t="s">
        <v>137</v>
      </c>
      <c r="C110" s="10"/>
      <c r="D110" s="10">
        <v>177</v>
      </c>
      <c r="E110" s="10"/>
      <c r="F110" s="10"/>
    </row>
    <row r="111">
      <c r="B111" s="10" t="s">
        <v>138</v>
      </c>
      <c r="C111" s="10"/>
      <c r="D111" s="10" t="s">
        <v>139</v>
      </c>
      <c r="E111" s="10"/>
      <c r="F111" s="10"/>
    </row>
    <row r="112">
      <c r="B112" s="10" t="s">
        <v>140</v>
      </c>
      <c r="C112" s="10"/>
      <c r="D112" s="10">
        <v>143735902.37</v>
      </c>
      <c r="E112" s="10"/>
      <c r="F112" s="10"/>
    </row>
    <row r="113">
      <c r="B113" s="10" t="s">
        <v>141</v>
      </c>
      <c r="C113" s="10"/>
      <c r="D113" s="10" t="s">
        <v>139</v>
      </c>
      <c r="E113" s="10"/>
      <c r="F113" s="10"/>
    </row>
    <row r="114">
      <c r="B114" s="10" t="s">
        <v>142</v>
      </c>
      <c r="C114" s="10"/>
      <c r="D114" s="10" t="s">
        <v>139</v>
      </c>
      <c r="E114" s="10"/>
      <c r="F114" s="10"/>
    </row>
    <row r="116">
      <c r="B116" s="9" t="s">
        <v>143</v>
      </c>
      <c r="C116" s="9"/>
      <c r="D116" s="9"/>
      <c r="E116" s="9"/>
      <c r="F116" s="9"/>
    </row>
    <row r="117">
      <c r="B117" s="10" t="s">
        <v>130</v>
      </c>
      <c r="C117" s="10" t="s">
        <v>131</v>
      </c>
      <c r="D117" s="10" t="s">
        <v>132</v>
      </c>
      <c r="E117" s="10" t="s">
        <v>133</v>
      </c>
      <c r="F117" s="10" t="s">
        <v>134</v>
      </c>
    </row>
    <row r="118">
      <c r="B118" s="10" t="s">
        <v>75</v>
      </c>
      <c r="C118" s="10" t="s">
        <v>144</v>
      </c>
      <c r="D118" s="10">
        <v>2711.4</v>
      </c>
      <c r="E118" s="10">
        <v>2965.5</v>
      </c>
      <c r="F118" s="12" t="s">
        <v>145</v>
      </c>
    </row>
    <row r="119" s="3" customFormat="1">
      <c r="B119" s="10" t="s">
        <v>85</v>
      </c>
      <c r="C119" s="10" t="s">
        <v>146</v>
      </c>
      <c r="D119" s="13">
        <v>4399.55</v>
      </c>
      <c r="E119" s="13">
        <v>4192.2</v>
      </c>
      <c r="F119" s="14"/>
    </row>
    <row r="120" s="3" customFormat="1">
      <c r="B120" s="10" t="s">
        <v>82</v>
      </c>
      <c r="C120" s="10" t="s">
        <v>146</v>
      </c>
      <c r="D120" s="13">
        <v>1115.4</v>
      </c>
      <c r="E120" s="13">
        <v>1140.1</v>
      </c>
      <c r="F120" s="14"/>
    </row>
    <row r="121" s="3" customFormat="1">
      <c r="B121" s="10" t="s">
        <v>80</v>
      </c>
      <c r="C121" s="10" t="s">
        <v>146</v>
      </c>
      <c r="D121" s="13">
        <v>1382.9691</v>
      </c>
      <c r="E121" s="13">
        <v>1375</v>
      </c>
      <c r="F121" s="14"/>
    </row>
    <row r="122">
      <c r="B122" s="10" t="s">
        <v>78</v>
      </c>
      <c r="C122" s="10" t="s">
        <v>144</v>
      </c>
      <c r="D122" s="13">
        <v>428.4</v>
      </c>
      <c r="E122" s="13">
        <v>446.3</v>
      </c>
      <c r="F122" s="15"/>
    </row>
    <row r="123">
      <c r="B123" s="10" t="s">
        <v>147</v>
      </c>
      <c r="C123" s="10"/>
      <c r="D123" s="10">
        <v>18.36</v>
      </c>
      <c r="E123" s="10"/>
      <c r="F123" s="10"/>
    </row>
    <row r="125">
      <c r="B125" s="9" t="s">
        <v>148</v>
      </c>
      <c r="C125" s="9"/>
      <c r="D125" s="9"/>
      <c r="E125" s="9"/>
      <c r="F125" s="9"/>
    </row>
    <row r="126">
      <c r="B126" s="10" t="s">
        <v>149</v>
      </c>
      <c r="C126" s="10"/>
      <c r="D126" s="10">
        <v>3303</v>
      </c>
      <c r="E126" s="10"/>
      <c r="F126" s="10"/>
    </row>
    <row r="127">
      <c r="B127" s="10" t="s">
        <v>150</v>
      </c>
      <c r="C127" s="10"/>
      <c r="D127" s="10">
        <v>2380</v>
      </c>
      <c r="E127" s="10"/>
      <c r="F127" s="10"/>
    </row>
    <row r="128">
      <c r="B128" s="10" t="s">
        <v>151</v>
      </c>
      <c r="C128" s="10"/>
      <c r="D128" s="10">
        <v>2321997840.41</v>
      </c>
      <c r="E128" s="10"/>
      <c r="F128" s="10"/>
    </row>
    <row r="129">
      <c r="B129" s="10" t="s">
        <v>141</v>
      </c>
      <c r="C129" s="10"/>
      <c r="D129" s="10">
        <v>1713517251.29</v>
      </c>
      <c r="E129" s="10"/>
      <c r="F129" s="10"/>
    </row>
    <row r="130">
      <c r="B130" s="10" t="s">
        <v>142</v>
      </c>
      <c r="C130" s="10"/>
      <c r="D130" s="10">
        <v>-608480589.12</v>
      </c>
      <c r="E130" s="10"/>
      <c r="F130" s="10"/>
    </row>
    <row r="132">
      <c r="B132" s="9" t="s">
        <v>152</v>
      </c>
      <c r="C132" s="9"/>
      <c r="D132" s="9"/>
      <c r="E132" s="9"/>
      <c r="F132" s="9"/>
    </row>
    <row r="133">
      <c r="B133" s="10" t="s">
        <v>130</v>
      </c>
      <c r="C133" s="10" t="s">
        <v>153</v>
      </c>
      <c r="D133" s="10" t="s">
        <v>154</v>
      </c>
      <c r="E133" s="10" t="s">
        <v>155</v>
      </c>
      <c r="F133" s="10"/>
    </row>
    <row r="134">
      <c r="B134" s="10" t="s">
        <v>139</v>
      </c>
      <c r="C134" s="10" t="s">
        <v>139</v>
      </c>
      <c r="D134" s="10" t="s">
        <v>20</v>
      </c>
      <c r="E134" s="10" t="s">
        <v>20</v>
      </c>
      <c r="F134" s="10" t="s">
        <v>20</v>
      </c>
    </row>
    <row r="135">
      <c r="B135" s="10" t="s">
        <v>156</v>
      </c>
      <c r="C135" s="10"/>
      <c r="D135" s="10" t="s">
        <v>139</v>
      </c>
      <c r="E135" s="10"/>
      <c r="F135" s="10"/>
    </row>
    <row r="137">
      <c r="B137" s="9" t="s">
        <v>157</v>
      </c>
      <c r="C137" s="9"/>
      <c r="D137" s="9"/>
      <c r="E137" s="9"/>
      <c r="F137" s="9"/>
    </row>
    <row r="138">
      <c r="B138" s="10" t="s">
        <v>158</v>
      </c>
      <c r="C138" s="10"/>
      <c r="D138" s="10" t="s">
        <v>139</v>
      </c>
      <c r="E138" s="10"/>
      <c r="F138" s="10"/>
    </row>
    <row r="139">
      <c r="B139" s="10" t="s">
        <v>159</v>
      </c>
      <c r="C139" s="10"/>
      <c r="D139" s="10" t="s">
        <v>139</v>
      </c>
      <c r="E139" s="10"/>
      <c r="F139" s="10"/>
    </row>
    <row r="140">
      <c r="B140" s="10" t="s">
        <v>160</v>
      </c>
      <c r="C140" s="10"/>
      <c r="D140" s="10" t="s">
        <v>139</v>
      </c>
      <c r="E140" s="10"/>
      <c r="F140" s="10"/>
    </row>
    <row r="142">
      <c r="B142" s="9" t="s">
        <v>161</v>
      </c>
      <c r="C142" s="9"/>
      <c r="D142" s="9"/>
      <c r="E142" s="9"/>
      <c r="F142" s="9"/>
    </row>
    <row r="143">
      <c r="B143" s="10" t="s">
        <v>130</v>
      </c>
      <c r="C143" s="10" t="s">
        <v>162</v>
      </c>
      <c r="D143" s="10" t="s">
        <v>153</v>
      </c>
      <c r="E143" s="10" t="s">
        <v>154</v>
      </c>
      <c r="F143" s="10" t="s">
        <v>155</v>
      </c>
    </row>
    <row r="144">
      <c r="B144" s="10" t="s">
        <v>139</v>
      </c>
      <c r="C144" s="10" t="s">
        <v>139</v>
      </c>
      <c r="D144" s="10" t="s">
        <v>20</v>
      </c>
      <c r="E144" s="10" t="s">
        <v>20</v>
      </c>
      <c r="F144" s="10" t="s">
        <v>20</v>
      </c>
    </row>
    <row r="145">
      <c r="B145" s="10" t="s">
        <v>163</v>
      </c>
      <c r="C145" s="10"/>
      <c r="D145" s="10" t="s">
        <v>139</v>
      </c>
      <c r="E145" s="10"/>
      <c r="F145" s="10"/>
    </row>
    <row r="147">
      <c r="B147" s="9" t="s">
        <v>164</v>
      </c>
      <c r="C147" s="9"/>
      <c r="D147" s="9"/>
      <c r="E147" s="9"/>
      <c r="F147" s="9"/>
    </row>
    <row r="148">
      <c r="B148" s="10" t="s">
        <v>158</v>
      </c>
      <c r="C148" s="10"/>
      <c r="D148" s="10" t="s">
        <v>139</v>
      </c>
      <c r="E148" s="10"/>
      <c r="F148" s="10"/>
    </row>
    <row r="149">
      <c r="B149" s="10" t="s">
        <v>165</v>
      </c>
      <c r="C149" s="10"/>
      <c r="D149" s="10" t="s">
        <v>139</v>
      </c>
      <c r="E149" s="10"/>
      <c r="F149" s="10"/>
    </row>
    <row r="150">
      <c r="B150" s="10" t="s">
        <v>160</v>
      </c>
      <c r="C150" s="10"/>
      <c r="D150" s="10" t="s">
        <v>139</v>
      </c>
      <c r="E150" s="10"/>
      <c r="F150" s="10"/>
    </row>
    <row r="152">
      <c r="C152" s="3" t="s">
        <v>166</v>
      </c>
      <c r="D152" s="3"/>
      <c r="E152" s="3"/>
    </row>
    <row r="153">
      <c r="C153" s="3"/>
      <c r="D153" s="3"/>
      <c r="E153" s="3"/>
    </row>
    <row r="154">
      <c r="B154" s="0">
        <v>1</v>
      </c>
      <c r="C154" s="3" t="s">
        <v>167</v>
      </c>
      <c r="D154" s="3"/>
      <c r="E154" s="3"/>
    </row>
    <row r="155">
      <c r="C155" s="16" t="s">
        <v>168</v>
      </c>
      <c r="D155" s="16" t="s">
        <v>169</v>
      </c>
      <c r="E155" s="16" t="s">
        <v>170</v>
      </c>
    </row>
    <row r="156">
      <c r="C156" s="0" t="s">
        <v>171</v>
      </c>
      <c r="D156" s="0">
        <v>10.3596</v>
      </c>
      <c r="E156" s="0">
        <v>10.1492</v>
      </c>
    </row>
    <row r="157">
      <c r="C157" s="0" t="s">
        <v>172</v>
      </c>
      <c r="D157" s="0">
        <v>10.3596</v>
      </c>
      <c r="E157" s="0">
        <v>10.1492</v>
      </c>
    </row>
    <row r="158">
      <c r="C158" s="0" t="s">
        <v>173</v>
      </c>
      <c r="D158" s="0">
        <v>10.262</v>
      </c>
      <c r="E158" s="0">
        <v>10.0655</v>
      </c>
    </row>
    <row r="159">
      <c r="C159" s="0" t="s">
        <v>174</v>
      </c>
      <c r="D159" s="0">
        <v>10.262</v>
      </c>
      <c r="E159" s="0">
        <v>10.0655</v>
      </c>
    </row>
    <row r="160">
      <c r="C160" s="3"/>
      <c r="D160" s="3"/>
      <c r="E160" s="3"/>
    </row>
    <row r="161">
      <c r="B161" s="0">
        <v>2</v>
      </c>
      <c r="C161" s="3" t="s">
        <v>175</v>
      </c>
      <c r="D161" s="3"/>
      <c r="E161" s="3"/>
    </row>
    <row r="162">
      <c r="B162" s="0">
        <v>3</v>
      </c>
      <c r="C162" s="3" t="s">
        <v>176</v>
      </c>
      <c r="D162" s="3"/>
      <c r="E162" s="3"/>
    </row>
    <row r="163">
      <c r="B163" s="0">
        <v>4</v>
      </c>
      <c r="C163" s="3" t="s">
        <v>177</v>
      </c>
      <c r="D163" s="3"/>
      <c r="E163" s="3"/>
    </row>
    <row r="164">
      <c r="B164" s="0">
        <v>5</v>
      </c>
      <c r="C164" s="17" t="s">
        <v>178</v>
      </c>
      <c r="D164" s="3"/>
      <c r="E164" s="3"/>
    </row>
    <row r="165">
      <c r="B165" s="0">
        <v>6</v>
      </c>
      <c r="C165" s="3" t="s">
        <v>179</v>
      </c>
      <c r="D165" s="3"/>
      <c r="E165" s="3"/>
    </row>
    <row r="166">
      <c r="B166" s="0">
        <v>7</v>
      </c>
      <c r="C166" s="17" t="s">
        <v>180</v>
      </c>
      <c r="D166" s="3"/>
      <c r="E166" s="3"/>
    </row>
    <row r="167">
      <c r="B167" s="0">
        <v>8</v>
      </c>
      <c r="C167" s="3" t="s">
        <v>181</v>
      </c>
      <c r="D167" s="3"/>
      <c r="E167" s="3"/>
    </row>
    <row r="168">
      <c r="B168" s="0">
        <v>9</v>
      </c>
      <c r="C168" s="3" t="s">
        <v>182</v>
      </c>
      <c r="D168" s="3"/>
      <c r="E168" s="3"/>
    </row>
    <row r="169">
      <c r="B169" s="0">
        <v>10</v>
      </c>
      <c r="C169" s="3" t="s">
        <v>183</v>
      </c>
      <c r="D169" s="3"/>
      <c r="E169" s="3"/>
    </row>
    <row r="170">
      <c r="B170" s="0">
        <v>11</v>
      </c>
      <c r="C170" s="3" t="s">
        <v>184</v>
      </c>
      <c r="D170" s="3"/>
      <c r="E170" s="3"/>
    </row>
    <row r="174">
      <c r="B174" s="18" t="s">
        <v>185</v>
      </c>
    </row>
    <row r="175">
      <c r="B175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18" t="s">
        <v>186</v>
      </c>
    </row>
  </sheetData>
  <mergeCells>
    <mergeCell ref="B103:F103"/>
    <mergeCell ref="B104:F104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B142:F142"/>
    <mergeCell ref="B145:C145"/>
    <mergeCell ref="D145:F145"/>
    <mergeCell ref="C154:E154"/>
    <mergeCell ref="B147:F147"/>
    <mergeCell ref="B148:C148"/>
    <mergeCell ref="D148:F148"/>
    <mergeCell ref="B149:C149"/>
    <mergeCell ref="D149:F149"/>
    <mergeCell ref="C170:E170"/>
    <mergeCell ref="F118:F122"/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</mergeCells>
  <pageMargins left="0.7" right="0.7" top="0.75" bottom="0.75" header="0.3" footer="0.3"/>
  <headerFooter/>
  <drawing r:id="rId1"/>
</worksheet>
</file>